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D\5. Investigaciones\1. Papers\3. Encefalopatía Rommel\5. Publicación\1. Annals of Hepatology\Para Github\"/>
    </mc:Choice>
  </mc:AlternateContent>
  <xr:revisionPtr revIDLastSave="0" documentId="13_ncr:1_{D54F3262-E0BA-4489-91DA-A5E40719B271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Hoja3" sheetId="3" r:id="rId1"/>
    <sheet name="Leyenda" sheetId="4" r:id="rId2"/>
  </sheets>
  <definedNames>
    <definedName name="_xlnm._FilterDatabase" localSheetId="0" hidden="1">Hoja3!$A$1:$AS$62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3" i="3" l="1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C2" i="3"/>
  <c r="AD2" i="3" s="1"/>
  <c r="AC3" i="3"/>
  <c r="AD3" i="3" s="1"/>
  <c r="AC4" i="3"/>
  <c r="AD4" i="3" s="1"/>
  <c r="AC5" i="3"/>
  <c r="AD5" i="3" s="1"/>
  <c r="AC6" i="3"/>
  <c r="AD6" i="3" s="1"/>
  <c r="AC7" i="3"/>
  <c r="AD7" i="3" s="1"/>
  <c r="AC8" i="3"/>
  <c r="AD8" i="3" s="1"/>
  <c r="AC9" i="3"/>
  <c r="AD9" i="3" s="1"/>
  <c r="AC10" i="3"/>
  <c r="AD10" i="3" s="1"/>
  <c r="AC11" i="3"/>
  <c r="AD11" i="3" s="1"/>
  <c r="AC12" i="3"/>
  <c r="AD12" i="3" s="1"/>
  <c r="AC13" i="3"/>
  <c r="AD13" i="3" s="1"/>
  <c r="AC14" i="3"/>
  <c r="AD14" i="3" s="1"/>
  <c r="AC15" i="3"/>
  <c r="AD15" i="3" s="1"/>
  <c r="AC16" i="3"/>
  <c r="AD16" i="3" s="1"/>
  <c r="AC17" i="3"/>
  <c r="AD17" i="3" s="1"/>
  <c r="AC18" i="3"/>
  <c r="AD18" i="3" s="1"/>
  <c r="AC19" i="3"/>
  <c r="AD19" i="3" s="1"/>
  <c r="AC20" i="3"/>
  <c r="AD20" i="3" s="1"/>
  <c r="AC21" i="3"/>
  <c r="AD21" i="3" s="1"/>
  <c r="AC22" i="3"/>
  <c r="AD22" i="3" s="1"/>
  <c r="AC23" i="3"/>
  <c r="AD23" i="3" s="1"/>
  <c r="AC24" i="3"/>
  <c r="AD24" i="3" s="1"/>
  <c r="AC25" i="3"/>
  <c r="AD25" i="3" s="1"/>
  <c r="AC26" i="3"/>
  <c r="AD26" i="3" s="1"/>
  <c r="AC27" i="3"/>
  <c r="AD27" i="3" s="1"/>
  <c r="AC28" i="3"/>
  <c r="AD28" i="3" s="1"/>
  <c r="AC29" i="3"/>
  <c r="AD29" i="3" s="1"/>
  <c r="AC30" i="3"/>
  <c r="AD30" i="3" s="1"/>
  <c r="AC31" i="3"/>
  <c r="AD31" i="3" s="1"/>
  <c r="AC32" i="3"/>
  <c r="AD32" i="3" s="1"/>
  <c r="AC33" i="3"/>
  <c r="AD33" i="3" s="1"/>
  <c r="AC34" i="3"/>
  <c r="AD34" i="3" s="1"/>
  <c r="AC35" i="3"/>
  <c r="AD35" i="3" s="1"/>
  <c r="AC36" i="3"/>
  <c r="AD36" i="3" s="1"/>
  <c r="AC37" i="3"/>
  <c r="AD37" i="3" s="1"/>
  <c r="AC38" i="3"/>
  <c r="AD38" i="3" s="1"/>
  <c r="AC39" i="3"/>
  <c r="AD39" i="3" s="1"/>
  <c r="AC40" i="3"/>
  <c r="AD40" i="3" s="1"/>
  <c r="AC41" i="3"/>
  <c r="AD41" i="3" s="1"/>
  <c r="AC42" i="3"/>
  <c r="AD42" i="3" s="1"/>
  <c r="AC43" i="3"/>
  <c r="AD43" i="3" s="1"/>
  <c r="AC44" i="3"/>
  <c r="AD44" i="3" s="1"/>
  <c r="AC45" i="3"/>
  <c r="AD45" i="3" s="1"/>
  <c r="AC46" i="3"/>
  <c r="AD46" i="3" s="1"/>
  <c r="AC47" i="3"/>
  <c r="AD47" i="3" s="1"/>
  <c r="AC48" i="3"/>
  <c r="AD48" i="3" s="1"/>
  <c r="AC49" i="3"/>
  <c r="AD49" i="3" s="1"/>
  <c r="AC50" i="3"/>
  <c r="AD50" i="3" s="1"/>
  <c r="AC51" i="3"/>
  <c r="AD51" i="3" s="1"/>
  <c r="AC52" i="3"/>
  <c r="AD52" i="3" s="1"/>
  <c r="AC53" i="3"/>
  <c r="AD53" i="3" s="1"/>
  <c r="AC54" i="3"/>
  <c r="AD54" i="3" s="1"/>
  <c r="AC55" i="3"/>
  <c r="AC56" i="3"/>
  <c r="AD56" i="3" s="1"/>
  <c r="AC57" i="3"/>
  <c r="AD57" i="3" s="1"/>
  <c r="AC58" i="3"/>
  <c r="AD58" i="3" s="1"/>
  <c r="AC59" i="3"/>
  <c r="AD59" i="3" s="1"/>
  <c r="AC60" i="3"/>
  <c r="AD60" i="3" s="1"/>
  <c r="AC61" i="3"/>
  <c r="AD61" i="3" s="1"/>
  <c r="AC62" i="3"/>
  <c r="AD62" i="3" s="1"/>
  <c r="AO62" i="3"/>
  <c r="AP62" i="3" s="1"/>
  <c r="AL62" i="3"/>
  <c r="AM62" i="3" s="1"/>
  <c r="AI62" i="3"/>
  <c r="AJ62" i="3" s="1"/>
  <c r="AF62" i="3"/>
  <c r="AG62" i="3" s="1"/>
  <c r="AO61" i="3"/>
  <c r="AP61" i="3" s="1"/>
  <c r="AL61" i="3"/>
  <c r="AM61" i="3" s="1"/>
  <c r="AI61" i="3"/>
  <c r="AJ61" i="3" s="1"/>
  <c r="AF61" i="3"/>
  <c r="AG61" i="3" s="1"/>
  <c r="AO60" i="3"/>
  <c r="AP60" i="3" s="1"/>
  <c r="AL60" i="3"/>
  <c r="AM60" i="3" s="1"/>
  <c r="AI60" i="3"/>
  <c r="AJ60" i="3" s="1"/>
  <c r="AF60" i="3"/>
  <c r="AG60" i="3" s="1"/>
  <c r="AO59" i="3"/>
  <c r="AP59" i="3" s="1"/>
  <c r="AL59" i="3"/>
  <c r="AM59" i="3" s="1"/>
  <c r="AI59" i="3"/>
  <c r="AJ59" i="3" s="1"/>
  <c r="AF59" i="3"/>
  <c r="AG59" i="3" s="1"/>
  <c r="AO58" i="3"/>
  <c r="AP58" i="3" s="1"/>
  <c r="AL58" i="3"/>
  <c r="AM58" i="3" s="1"/>
  <c r="AI58" i="3"/>
  <c r="AJ58" i="3" s="1"/>
  <c r="AF58" i="3"/>
  <c r="AG58" i="3" s="1"/>
  <c r="AO57" i="3"/>
  <c r="AP57" i="3" s="1"/>
  <c r="AL57" i="3"/>
  <c r="AM57" i="3" s="1"/>
  <c r="AI57" i="3"/>
  <c r="AJ57" i="3" s="1"/>
  <c r="AF57" i="3"/>
  <c r="AG57" i="3" s="1"/>
  <c r="AO56" i="3"/>
  <c r="AP56" i="3" s="1"/>
  <c r="AL56" i="3"/>
  <c r="AM56" i="3" s="1"/>
  <c r="AI56" i="3"/>
  <c r="AJ56" i="3" s="1"/>
  <c r="AF56" i="3"/>
  <c r="AG56" i="3" s="1"/>
  <c r="AO55" i="3"/>
  <c r="AP55" i="3" s="1"/>
  <c r="AL55" i="3"/>
  <c r="AM55" i="3" s="1"/>
  <c r="AI55" i="3"/>
  <c r="AJ55" i="3" s="1"/>
  <c r="AF55" i="3"/>
  <c r="AG55" i="3" s="1"/>
  <c r="AD55" i="3"/>
  <c r="AO54" i="3"/>
  <c r="AP54" i="3" s="1"/>
  <c r="AL54" i="3"/>
  <c r="AM54" i="3" s="1"/>
  <c r="AI54" i="3"/>
  <c r="AJ54" i="3" s="1"/>
  <c r="AF54" i="3"/>
  <c r="AG54" i="3" s="1"/>
  <c r="AO53" i="3"/>
  <c r="AP53" i="3" s="1"/>
  <c r="AL53" i="3"/>
  <c r="AM53" i="3" s="1"/>
  <c r="AI53" i="3"/>
  <c r="AJ53" i="3" s="1"/>
  <c r="AF53" i="3"/>
  <c r="AG53" i="3" s="1"/>
  <c r="AO52" i="3"/>
  <c r="AP52" i="3" s="1"/>
  <c r="AL52" i="3"/>
  <c r="AM52" i="3" s="1"/>
  <c r="AI52" i="3"/>
  <c r="AJ52" i="3" s="1"/>
  <c r="AF52" i="3"/>
  <c r="AG52" i="3" s="1"/>
  <c r="AO51" i="3"/>
  <c r="AP51" i="3" s="1"/>
  <c r="AL51" i="3"/>
  <c r="AM51" i="3" s="1"/>
  <c r="AI51" i="3"/>
  <c r="AJ51" i="3" s="1"/>
  <c r="AF51" i="3"/>
  <c r="AG51" i="3" s="1"/>
  <c r="AO50" i="3"/>
  <c r="AP50" i="3" s="1"/>
  <c r="AL50" i="3"/>
  <c r="AM50" i="3" s="1"/>
  <c r="AI50" i="3"/>
  <c r="AJ50" i="3" s="1"/>
  <c r="AF50" i="3"/>
  <c r="AG50" i="3" s="1"/>
  <c r="AO49" i="3"/>
  <c r="AP49" i="3" s="1"/>
  <c r="AL49" i="3"/>
  <c r="AM49" i="3" s="1"/>
  <c r="AI49" i="3"/>
  <c r="AJ49" i="3" s="1"/>
  <c r="AF49" i="3"/>
  <c r="AG49" i="3" s="1"/>
  <c r="AO48" i="3"/>
  <c r="AP48" i="3" s="1"/>
  <c r="AL48" i="3"/>
  <c r="AM48" i="3" s="1"/>
  <c r="AI48" i="3"/>
  <c r="AJ48" i="3" s="1"/>
  <c r="AF48" i="3"/>
  <c r="AG48" i="3" s="1"/>
  <c r="AO47" i="3"/>
  <c r="AP47" i="3" s="1"/>
  <c r="AL47" i="3"/>
  <c r="AM47" i="3" s="1"/>
  <c r="AI47" i="3"/>
  <c r="AJ47" i="3" s="1"/>
  <c r="AF47" i="3"/>
  <c r="AG47" i="3" s="1"/>
  <c r="AO46" i="3"/>
  <c r="AP46" i="3" s="1"/>
  <c r="AL46" i="3"/>
  <c r="AM46" i="3" s="1"/>
  <c r="AI46" i="3"/>
  <c r="AJ46" i="3" s="1"/>
  <c r="AF46" i="3"/>
  <c r="AG46" i="3" s="1"/>
  <c r="AO45" i="3"/>
  <c r="AP45" i="3" s="1"/>
  <c r="AL45" i="3"/>
  <c r="AM45" i="3" s="1"/>
  <c r="AI45" i="3"/>
  <c r="AJ45" i="3" s="1"/>
  <c r="AF45" i="3"/>
  <c r="AG45" i="3" s="1"/>
  <c r="AO44" i="3"/>
  <c r="AP44" i="3" s="1"/>
  <c r="AL44" i="3"/>
  <c r="AM44" i="3" s="1"/>
  <c r="AI44" i="3"/>
  <c r="AJ44" i="3" s="1"/>
  <c r="AF44" i="3"/>
  <c r="AG44" i="3" s="1"/>
  <c r="AO43" i="3"/>
  <c r="AP43" i="3" s="1"/>
  <c r="AL43" i="3"/>
  <c r="AM43" i="3" s="1"/>
  <c r="AI43" i="3"/>
  <c r="AJ43" i="3" s="1"/>
  <c r="AF43" i="3"/>
  <c r="AG43" i="3" s="1"/>
  <c r="AO42" i="3"/>
  <c r="AP42" i="3" s="1"/>
  <c r="AL42" i="3"/>
  <c r="AM42" i="3" s="1"/>
  <c r="AI42" i="3"/>
  <c r="AJ42" i="3" s="1"/>
  <c r="AF42" i="3"/>
  <c r="AG42" i="3" s="1"/>
  <c r="AO41" i="3"/>
  <c r="AP41" i="3" s="1"/>
  <c r="AL41" i="3"/>
  <c r="AM41" i="3" s="1"/>
  <c r="AI41" i="3"/>
  <c r="AJ41" i="3" s="1"/>
  <c r="AF41" i="3"/>
  <c r="AG41" i="3" s="1"/>
  <c r="AO40" i="3"/>
  <c r="AP40" i="3" s="1"/>
  <c r="AL40" i="3"/>
  <c r="AM40" i="3" s="1"/>
  <c r="AI40" i="3"/>
  <c r="AJ40" i="3" s="1"/>
  <c r="AF40" i="3"/>
  <c r="AG40" i="3" s="1"/>
  <c r="AO39" i="3"/>
  <c r="AP39" i="3" s="1"/>
  <c r="AL39" i="3"/>
  <c r="AM39" i="3" s="1"/>
  <c r="AI39" i="3"/>
  <c r="AJ39" i="3" s="1"/>
  <c r="AF39" i="3"/>
  <c r="AG39" i="3" s="1"/>
  <c r="AO38" i="3"/>
  <c r="AP38" i="3" s="1"/>
  <c r="AL38" i="3"/>
  <c r="AM38" i="3" s="1"/>
  <c r="AI38" i="3"/>
  <c r="AJ38" i="3" s="1"/>
  <c r="AF38" i="3"/>
  <c r="AG38" i="3" s="1"/>
  <c r="AO37" i="3"/>
  <c r="AP37" i="3" s="1"/>
  <c r="AL37" i="3"/>
  <c r="AM37" i="3" s="1"/>
  <c r="AI37" i="3"/>
  <c r="AJ37" i="3" s="1"/>
  <c r="AF37" i="3"/>
  <c r="AG37" i="3" s="1"/>
  <c r="AO36" i="3"/>
  <c r="AP36" i="3" s="1"/>
  <c r="AL36" i="3"/>
  <c r="AM36" i="3" s="1"/>
  <c r="AI36" i="3"/>
  <c r="AJ36" i="3" s="1"/>
  <c r="AF36" i="3"/>
  <c r="AG36" i="3" s="1"/>
  <c r="AO35" i="3"/>
  <c r="AP35" i="3" s="1"/>
  <c r="AL35" i="3"/>
  <c r="AM35" i="3" s="1"/>
  <c r="AI35" i="3"/>
  <c r="AJ35" i="3" s="1"/>
  <c r="AF35" i="3"/>
  <c r="AG35" i="3" s="1"/>
  <c r="AO34" i="3"/>
  <c r="AP34" i="3" s="1"/>
  <c r="AL34" i="3"/>
  <c r="AM34" i="3" s="1"/>
  <c r="AI34" i="3"/>
  <c r="AJ34" i="3" s="1"/>
  <c r="AF34" i="3"/>
  <c r="AG34" i="3" s="1"/>
  <c r="AO33" i="3"/>
  <c r="AP33" i="3" s="1"/>
  <c r="AL33" i="3"/>
  <c r="AM33" i="3" s="1"/>
  <c r="AI33" i="3"/>
  <c r="AJ33" i="3" s="1"/>
  <c r="AF33" i="3"/>
  <c r="AG33" i="3" s="1"/>
  <c r="AO32" i="3"/>
  <c r="AP32" i="3" s="1"/>
  <c r="AL32" i="3"/>
  <c r="AM32" i="3" s="1"/>
  <c r="AI32" i="3"/>
  <c r="AJ32" i="3" s="1"/>
  <c r="AF32" i="3"/>
  <c r="AG32" i="3" s="1"/>
  <c r="AO31" i="3"/>
  <c r="AP31" i="3" s="1"/>
  <c r="AL31" i="3"/>
  <c r="AM31" i="3" s="1"/>
  <c r="AI31" i="3"/>
  <c r="AJ31" i="3" s="1"/>
  <c r="AF31" i="3"/>
  <c r="AG31" i="3" s="1"/>
  <c r="AO30" i="3"/>
  <c r="AP30" i="3" s="1"/>
  <c r="AL30" i="3"/>
  <c r="AM30" i="3" s="1"/>
  <c r="AI30" i="3"/>
  <c r="AJ30" i="3" s="1"/>
  <c r="AF30" i="3"/>
  <c r="AG30" i="3" s="1"/>
  <c r="AO29" i="3"/>
  <c r="AP29" i="3" s="1"/>
  <c r="AL29" i="3"/>
  <c r="AM29" i="3" s="1"/>
  <c r="AI29" i="3"/>
  <c r="AJ29" i="3" s="1"/>
  <c r="AF29" i="3"/>
  <c r="AG29" i="3" s="1"/>
  <c r="AO28" i="3"/>
  <c r="AP28" i="3" s="1"/>
  <c r="AL28" i="3"/>
  <c r="AM28" i="3" s="1"/>
  <c r="AI28" i="3"/>
  <c r="AJ28" i="3" s="1"/>
  <c r="AF28" i="3"/>
  <c r="AG28" i="3" s="1"/>
  <c r="AO27" i="3"/>
  <c r="AP27" i="3" s="1"/>
  <c r="AL27" i="3"/>
  <c r="AM27" i="3" s="1"/>
  <c r="AI27" i="3"/>
  <c r="AJ27" i="3" s="1"/>
  <c r="AF27" i="3"/>
  <c r="AG27" i="3" s="1"/>
  <c r="AO26" i="3"/>
  <c r="AP26" i="3" s="1"/>
  <c r="AL26" i="3"/>
  <c r="AM26" i="3" s="1"/>
  <c r="AI26" i="3"/>
  <c r="AJ26" i="3" s="1"/>
  <c r="AF26" i="3"/>
  <c r="AG26" i="3" s="1"/>
  <c r="AO25" i="3"/>
  <c r="AP25" i="3" s="1"/>
  <c r="AL25" i="3"/>
  <c r="AM25" i="3" s="1"/>
  <c r="AI25" i="3"/>
  <c r="AJ25" i="3" s="1"/>
  <c r="AF25" i="3"/>
  <c r="AG25" i="3" s="1"/>
  <c r="AO24" i="3"/>
  <c r="AP24" i="3" s="1"/>
  <c r="AL24" i="3"/>
  <c r="AM24" i="3" s="1"/>
  <c r="AI24" i="3"/>
  <c r="AJ24" i="3" s="1"/>
  <c r="AF24" i="3"/>
  <c r="AG24" i="3" s="1"/>
  <c r="AO23" i="3"/>
  <c r="AP23" i="3" s="1"/>
  <c r="AL23" i="3"/>
  <c r="AM23" i="3" s="1"/>
  <c r="AI23" i="3"/>
  <c r="AJ23" i="3" s="1"/>
  <c r="AF23" i="3"/>
  <c r="AG23" i="3" s="1"/>
  <c r="AO22" i="3"/>
  <c r="AP22" i="3" s="1"/>
  <c r="AL22" i="3"/>
  <c r="AM22" i="3" s="1"/>
  <c r="AI22" i="3"/>
  <c r="AJ22" i="3" s="1"/>
  <c r="AF22" i="3"/>
  <c r="AG22" i="3" s="1"/>
  <c r="AO21" i="3"/>
  <c r="AP21" i="3" s="1"/>
  <c r="AL21" i="3"/>
  <c r="AM21" i="3" s="1"/>
  <c r="AI21" i="3"/>
  <c r="AJ21" i="3" s="1"/>
  <c r="AF21" i="3"/>
  <c r="AG21" i="3" s="1"/>
  <c r="AO20" i="3"/>
  <c r="AP20" i="3" s="1"/>
  <c r="AL20" i="3"/>
  <c r="AM20" i="3" s="1"/>
  <c r="AI20" i="3"/>
  <c r="AJ20" i="3" s="1"/>
  <c r="AF20" i="3"/>
  <c r="AG20" i="3" s="1"/>
  <c r="AO19" i="3"/>
  <c r="AP19" i="3" s="1"/>
  <c r="AL19" i="3"/>
  <c r="AM19" i="3" s="1"/>
  <c r="AI19" i="3"/>
  <c r="AJ19" i="3" s="1"/>
  <c r="AF19" i="3"/>
  <c r="AG19" i="3" s="1"/>
  <c r="AO18" i="3"/>
  <c r="AP18" i="3" s="1"/>
  <c r="AL18" i="3"/>
  <c r="AM18" i="3" s="1"/>
  <c r="AI18" i="3"/>
  <c r="AJ18" i="3" s="1"/>
  <c r="AF18" i="3"/>
  <c r="AG18" i="3" s="1"/>
  <c r="AO17" i="3"/>
  <c r="AP17" i="3" s="1"/>
  <c r="AL17" i="3"/>
  <c r="AM17" i="3" s="1"/>
  <c r="AI17" i="3"/>
  <c r="AJ17" i="3" s="1"/>
  <c r="AF17" i="3"/>
  <c r="AG17" i="3" s="1"/>
  <c r="AO16" i="3"/>
  <c r="AP16" i="3" s="1"/>
  <c r="AL16" i="3"/>
  <c r="AM16" i="3" s="1"/>
  <c r="AI16" i="3"/>
  <c r="AJ16" i="3" s="1"/>
  <c r="AF16" i="3"/>
  <c r="AG16" i="3" s="1"/>
  <c r="AO15" i="3"/>
  <c r="AP15" i="3" s="1"/>
  <c r="AL15" i="3"/>
  <c r="AM15" i="3" s="1"/>
  <c r="AI15" i="3"/>
  <c r="AJ15" i="3" s="1"/>
  <c r="AF15" i="3"/>
  <c r="AG15" i="3" s="1"/>
  <c r="AO14" i="3"/>
  <c r="AP14" i="3" s="1"/>
  <c r="AL14" i="3"/>
  <c r="AM14" i="3" s="1"/>
  <c r="AI14" i="3"/>
  <c r="AJ14" i="3" s="1"/>
  <c r="AF14" i="3"/>
  <c r="AG14" i="3" s="1"/>
  <c r="AO13" i="3"/>
  <c r="AP13" i="3" s="1"/>
  <c r="AL13" i="3"/>
  <c r="AM13" i="3" s="1"/>
  <c r="AI13" i="3"/>
  <c r="AJ13" i="3" s="1"/>
  <c r="AF13" i="3"/>
  <c r="AG13" i="3" s="1"/>
  <c r="AO12" i="3"/>
  <c r="AP12" i="3" s="1"/>
  <c r="AL12" i="3"/>
  <c r="AM12" i="3" s="1"/>
  <c r="AI12" i="3"/>
  <c r="AJ12" i="3" s="1"/>
  <c r="AF12" i="3"/>
  <c r="AG12" i="3" s="1"/>
  <c r="AO11" i="3"/>
  <c r="AP11" i="3" s="1"/>
  <c r="AL11" i="3"/>
  <c r="AM11" i="3" s="1"/>
  <c r="AI11" i="3"/>
  <c r="AJ11" i="3" s="1"/>
  <c r="AF11" i="3"/>
  <c r="AG11" i="3" s="1"/>
  <c r="AO10" i="3"/>
  <c r="AP10" i="3" s="1"/>
  <c r="AL10" i="3"/>
  <c r="AM10" i="3" s="1"/>
  <c r="AI10" i="3"/>
  <c r="AJ10" i="3" s="1"/>
  <c r="AF10" i="3"/>
  <c r="AG10" i="3" s="1"/>
  <c r="AO9" i="3"/>
  <c r="AP9" i="3" s="1"/>
  <c r="AL9" i="3"/>
  <c r="AM9" i="3" s="1"/>
  <c r="AI9" i="3"/>
  <c r="AJ9" i="3" s="1"/>
  <c r="AF9" i="3"/>
  <c r="AG9" i="3" s="1"/>
  <c r="AO8" i="3"/>
  <c r="AP8" i="3" s="1"/>
  <c r="AL8" i="3"/>
  <c r="AM8" i="3" s="1"/>
  <c r="AI8" i="3"/>
  <c r="AJ8" i="3" s="1"/>
  <c r="AF8" i="3"/>
  <c r="AG8" i="3" s="1"/>
  <c r="AO7" i="3"/>
  <c r="AP7" i="3" s="1"/>
  <c r="AL7" i="3"/>
  <c r="AM7" i="3" s="1"/>
  <c r="AI7" i="3"/>
  <c r="AJ7" i="3" s="1"/>
  <c r="AF7" i="3"/>
  <c r="AG7" i="3" s="1"/>
  <c r="AO6" i="3"/>
  <c r="AP6" i="3" s="1"/>
  <c r="AL6" i="3"/>
  <c r="AM6" i="3" s="1"/>
  <c r="AI6" i="3"/>
  <c r="AJ6" i="3" s="1"/>
  <c r="AF6" i="3"/>
  <c r="AG6" i="3" s="1"/>
  <c r="AO5" i="3"/>
  <c r="AP5" i="3" s="1"/>
  <c r="AL5" i="3"/>
  <c r="AM5" i="3" s="1"/>
  <c r="AI5" i="3"/>
  <c r="AJ5" i="3" s="1"/>
  <c r="AF5" i="3"/>
  <c r="AG5" i="3" s="1"/>
  <c r="AO4" i="3"/>
  <c r="AP4" i="3" s="1"/>
  <c r="AL4" i="3"/>
  <c r="AM4" i="3" s="1"/>
  <c r="AI4" i="3"/>
  <c r="AJ4" i="3" s="1"/>
  <c r="AF4" i="3"/>
  <c r="AG4" i="3" s="1"/>
  <c r="AO3" i="3"/>
  <c r="AP3" i="3" s="1"/>
  <c r="AL3" i="3"/>
  <c r="AM3" i="3" s="1"/>
  <c r="AI3" i="3"/>
  <c r="AJ3" i="3" s="1"/>
  <c r="AF3" i="3"/>
  <c r="AG3" i="3" s="1"/>
  <c r="AO2" i="3"/>
  <c r="AP2" i="3" s="1"/>
  <c r="AL2" i="3"/>
  <c r="AM2" i="3" s="1"/>
  <c r="AI2" i="3"/>
  <c r="AJ2" i="3" s="1"/>
  <c r="AF2" i="3"/>
  <c r="AG2" i="3" s="1"/>
  <c r="AQ7" i="3" l="1"/>
  <c r="AR7" i="3" s="1"/>
  <c r="AQ30" i="3"/>
  <c r="AR30" i="3" s="1"/>
  <c r="AQ31" i="3"/>
  <c r="AR31" i="3" s="1"/>
  <c r="AQ33" i="3"/>
  <c r="AR33" i="3" s="1"/>
  <c r="AQ41" i="3"/>
  <c r="AR41" i="3" s="1"/>
  <c r="AQ47" i="3"/>
  <c r="AR47" i="3" s="1"/>
  <c r="AQ42" i="3"/>
  <c r="AR42" i="3" s="1"/>
  <c r="AQ34" i="3"/>
  <c r="AR34" i="3" s="1"/>
  <c r="AQ10" i="3"/>
  <c r="AR10" i="3" s="1"/>
  <c r="AQ2" i="3"/>
  <c r="AR2" i="3" s="1"/>
  <c r="AQ17" i="3"/>
  <c r="AR17" i="3" s="1"/>
  <c r="AQ55" i="3"/>
  <c r="AR55" i="3" s="1"/>
  <c r="AQ8" i="3"/>
  <c r="AR8" i="3" s="1"/>
  <c r="AQ23" i="3"/>
  <c r="AR23" i="3" s="1"/>
  <c r="AQ25" i="3"/>
  <c r="AR25" i="3" s="1"/>
  <c r="AQ27" i="3"/>
  <c r="AR27" i="3" s="1"/>
  <c r="AQ32" i="3"/>
  <c r="AR32" i="3" s="1"/>
  <c r="AQ40" i="3"/>
  <c r="AR40" i="3" s="1"/>
  <c r="AQ24" i="3"/>
  <c r="AR24" i="3" s="1"/>
  <c r="AQ58" i="3"/>
  <c r="AR58" i="3" s="1"/>
  <c r="AQ15" i="3"/>
  <c r="AR15" i="3" s="1"/>
  <c r="AQ49" i="3"/>
  <c r="AR49" i="3" s="1"/>
  <c r="AQ18" i="3"/>
  <c r="AR18" i="3" s="1"/>
  <c r="AQ16" i="3"/>
  <c r="AR16" i="3" s="1"/>
  <c r="AQ62" i="3"/>
  <c r="AR62" i="3" s="1"/>
  <c r="AQ54" i="3"/>
  <c r="AR54" i="3" s="1"/>
  <c r="AQ46" i="3"/>
  <c r="AR46" i="3" s="1"/>
  <c r="AQ38" i="3"/>
  <c r="AR38" i="3" s="1"/>
  <c r="AQ22" i="3"/>
  <c r="AR22" i="3" s="1"/>
  <c r="AQ14" i="3"/>
  <c r="AR14" i="3" s="1"/>
  <c r="AQ6" i="3"/>
  <c r="AR6" i="3" s="1"/>
  <c r="AQ26" i="3"/>
  <c r="AR26" i="3" s="1"/>
  <c r="AQ48" i="3"/>
  <c r="AR48" i="3" s="1"/>
  <c r="AQ57" i="3"/>
  <c r="AR57" i="3" s="1"/>
  <c r="AQ59" i="3"/>
  <c r="AR59" i="3" s="1"/>
  <c r="AQ61" i="3"/>
  <c r="AR61" i="3" s="1"/>
  <c r="AQ53" i="3"/>
  <c r="AR53" i="3" s="1"/>
  <c r="AQ45" i="3"/>
  <c r="AR45" i="3" s="1"/>
  <c r="AQ37" i="3"/>
  <c r="AR37" i="3" s="1"/>
  <c r="AQ29" i="3"/>
  <c r="AR29" i="3" s="1"/>
  <c r="AQ21" i="3"/>
  <c r="AR21" i="3" s="1"/>
  <c r="AQ13" i="3"/>
  <c r="AR13" i="3" s="1"/>
  <c r="AQ5" i="3"/>
  <c r="AR5" i="3" s="1"/>
  <c r="AQ50" i="3"/>
  <c r="AR50" i="3" s="1"/>
  <c r="AQ3" i="3"/>
  <c r="AR3" i="3" s="1"/>
  <c r="AQ60" i="3"/>
  <c r="AR60" i="3" s="1"/>
  <c r="AQ52" i="3"/>
  <c r="AR52" i="3" s="1"/>
  <c r="AQ44" i="3"/>
  <c r="AR44" i="3" s="1"/>
  <c r="AQ36" i="3"/>
  <c r="AR36" i="3" s="1"/>
  <c r="AQ20" i="3"/>
  <c r="AR20" i="3" s="1"/>
  <c r="AQ12" i="3"/>
  <c r="AR12" i="3" s="1"/>
  <c r="AQ4" i="3"/>
  <c r="AR4" i="3" s="1"/>
  <c r="AQ9" i="3"/>
  <c r="AR9" i="3" s="1"/>
  <c r="AQ28" i="3"/>
  <c r="AR28" i="3" s="1"/>
  <c r="AQ39" i="3"/>
  <c r="AR39" i="3" s="1"/>
  <c r="AQ56" i="3"/>
  <c r="AR56" i="3" s="1"/>
  <c r="AQ51" i="3"/>
  <c r="AR51" i="3" s="1"/>
  <c r="AQ43" i="3"/>
  <c r="AR43" i="3" s="1"/>
  <c r="AQ35" i="3"/>
  <c r="AR35" i="3" s="1"/>
  <c r="AQ19" i="3"/>
  <c r="AR19" i="3" s="1"/>
  <c r="AQ11" i="3"/>
  <c r="AR11" i="3" s="1"/>
</calcChain>
</file>

<file path=xl/sharedStrings.xml><?xml version="1.0" encoding="utf-8"?>
<sst xmlns="http://schemas.openxmlformats.org/spreadsheetml/2006/main" count="735" uniqueCount="130">
  <si>
    <t>COMERCIANTE</t>
  </si>
  <si>
    <t>M</t>
  </si>
  <si>
    <t>NAFLD</t>
  </si>
  <si>
    <t>DM2</t>
  </si>
  <si>
    <t>AMA DE CASA</t>
  </si>
  <si>
    <t>F</t>
  </si>
  <si>
    <t>CBP</t>
  </si>
  <si>
    <t>ACIDO URSODEXOCICOLICO</t>
  </si>
  <si>
    <t>ADMINISTRADOR</t>
  </si>
  <si>
    <t>OH</t>
  </si>
  <si>
    <t>TIAMINA</t>
  </si>
  <si>
    <t>HAI</t>
  </si>
  <si>
    <t>ATENCION AL PUBLICO</t>
  </si>
  <si>
    <t>COSTURERA</t>
  </si>
  <si>
    <t>ANEMIA FERROPENICA</t>
  </si>
  <si>
    <t>CONDUCTOR</t>
  </si>
  <si>
    <t>FIBROSIS PULMONAR</t>
  </si>
  <si>
    <t>BUDESONIDA</t>
  </si>
  <si>
    <t>INVESTIGADOR</t>
  </si>
  <si>
    <t>PROB CBP</t>
  </si>
  <si>
    <t>CONTADORA</t>
  </si>
  <si>
    <t>HVC</t>
  </si>
  <si>
    <t>SEGURIDAD</t>
  </si>
  <si>
    <t>OFICINA</t>
  </si>
  <si>
    <t>PREDNISONA</t>
  </si>
  <si>
    <t>ABOGADO</t>
  </si>
  <si>
    <t>SECRETARIA</t>
  </si>
  <si>
    <t>HVB</t>
  </si>
  <si>
    <t>TENOFOVIR</t>
  </si>
  <si>
    <t>CHOFER</t>
  </si>
  <si>
    <t>ARQUITECTO</t>
  </si>
  <si>
    <t>MECANICO</t>
  </si>
  <si>
    <t>DOCENTE</t>
  </si>
  <si>
    <t>HIPOTIROIDISMO</t>
  </si>
  <si>
    <t>PROPRANOLOL</t>
  </si>
  <si>
    <t>OVERLAP</t>
  </si>
  <si>
    <t>ELECTRICISTA</t>
  </si>
  <si>
    <t>UDCA</t>
  </si>
  <si>
    <t>ADMINISTRATIVO</t>
  </si>
  <si>
    <t>CBP + HAI</t>
  </si>
  <si>
    <t>LANZOPRAZOL</t>
  </si>
  <si>
    <t>COCINERA</t>
  </si>
  <si>
    <t>MAFLD + OH</t>
  </si>
  <si>
    <t>METFORMINA</t>
  </si>
  <si>
    <t>MAFLD</t>
  </si>
  <si>
    <t>PSICOLOGO</t>
  </si>
  <si>
    <t>OH + MAFLD</t>
  </si>
  <si>
    <t>HTA</t>
  </si>
  <si>
    <t>PROFESORA</t>
  </si>
  <si>
    <t>VHC</t>
  </si>
  <si>
    <t>CARVEDILOL</t>
  </si>
  <si>
    <t>edad</t>
  </si>
  <si>
    <t>inr</t>
  </si>
  <si>
    <t>alb</t>
  </si>
  <si>
    <t>crea</t>
  </si>
  <si>
    <t>bt</t>
  </si>
  <si>
    <t>asci</t>
  </si>
  <si>
    <t>na</t>
  </si>
  <si>
    <t>child</t>
  </si>
  <si>
    <t>meld</t>
  </si>
  <si>
    <t>phes</t>
  </si>
  <si>
    <t>MAFLD + VHC</t>
  </si>
  <si>
    <t>id</t>
  </si>
  <si>
    <t>anio</t>
  </si>
  <si>
    <t>ocupacion</t>
  </si>
  <si>
    <t>sexo</t>
  </si>
  <si>
    <t>etiologia</t>
  </si>
  <si>
    <t>endosco_diges_vvee</t>
  </si>
  <si>
    <t>west_haven</t>
  </si>
  <si>
    <t>meld_na</t>
  </si>
  <si>
    <t>dst_fin</t>
  </si>
  <si>
    <t>dst_1</t>
  </si>
  <si>
    <t>dst_2</t>
  </si>
  <si>
    <t>nctA_1</t>
  </si>
  <si>
    <t>nctA_2</t>
  </si>
  <si>
    <t>nctA_fin</t>
  </si>
  <si>
    <t>nctB_1</t>
  </si>
  <si>
    <t>nctB_2</t>
  </si>
  <si>
    <t>nctB_fin</t>
  </si>
  <si>
    <t>sdt_1</t>
  </si>
  <si>
    <t>sdt_2</t>
  </si>
  <si>
    <t>sdt_fin</t>
  </si>
  <si>
    <t>ldt_1</t>
  </si>
  <si>
    <t>ldt_2</t>
  </si>
  <si>
    <t>ldt_fin</t>
  </si>
  <si>
    <t>dx_final</t>
  </si>
  <si>
    <t>&lt; -4</t>
  </si>
  <si>
    <t>&gt;= -4</t>
  </si>
  <si>
    <t>no ehm</t>
  </si>
  <si>
    <t>si ehm</t>
  </si>
  <si>
    <t>phes_cal</t>
  </si>
  <si>
    <r>
      <t xml:space="preserve">dst_fin </t>
    </r>
    <r>
      <rPr>
        <b/>
        <sz val="11"/>
        <color rgb="FFFF0000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nctA_fin </t>
    </r>
    <r>
      <rPr>
        <b/>
        <sz val="11"/>
        <color rgb="FFFF0000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nctB_fin </t>
    </r>
    <r>
      <rPr>
        <b/>
        <sz val="11"/>
        <color rgb="FFFF0000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sdt_fin </t>
    </r>
    <r>
      <rPr>
        <b/>
        <sz val="11"/>
        <color rgb="FFFF0000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ldt_fin</t>
    </r>
  </si>
  <si>
    <t>anios_instr</t>
  </si>
  <si>
    <t>time_enf_cirrosis</t>
  </si>
  <si>
    <t>dx_final_cal</t>
  </si>
  <si>
    <t>tiempo de enfermedad (en meses) desde el diagnóstico de cirrosis</t>
  </si>
  <si>
    <t>los años de instrucción tienen que ser mínimo 11 años</t>
  </si>
  <si>
    <t>años</t>
  </si>
  <si>
    <t>meses</t>
  </si>
  <si>
    <t>no hay várices</t>
  </si>
  <si>
    <t>várices pequeñas</t>
  </si>
  <si>
    <t>várices no más del 50 % del lumen</t>
  </si>
  <si>
    <t>várices grandes</t>
  </si>
  <si>
    <t>várices esofágicas</t>
  </si>
  <si>
    <t>vvee_cal</t>
  </si>
  <si>
    <t>no reporta</t>
  </si>
  <si>
    <t>comorb_1</t>
  </si>
  <si>
    <t>comorb_2</t>
  </si>
  <si>
    <t>medica_1</t>
  </si>
  <si>
    <t>medica_2</t>
  </si>
  <si>
    <t>medica_3</t>
  </si>
  <si>
    <t>ESPIRONOLACTONA</t>
  </si>
  <si>
    <t>LOSARTAN</t>
  </si>
  <si>
    <t>AC FOLICO</t>
  </si>
  <si>
    <t>FUROSEMIDA</t>
  </si>
  <si>
    <t>INSULINA</t>
  </si>
  <si>
    <t>SIMVASTATINA</t>
  </si>
  <si>
    <t>PANTOPRAZOL</t>
  </si>
  <si>
    <t>medica_4</t>
  </si>
  <si>
    <t>medica_5</t>
  </si>
  <si>
    <t>medica_6</t>
  </si>
  <si>
    <t>LEVOTIROXINA</t>
  </si>
  <si>
    <t>SITAGLIPTINA</t>
  </si>
  <si>
    <t>OMEPRAZOL</t>
  </si>
  <si>
    <t>AZATIOPRINA</t>
  </si>
  <si>
    <t>AZTIOPRINA</t>
  </si>
  <si>
    <t>ATORVASTATINA</t>
  </si>
  <si>
    <t>HCZ</t>
  </si>
  <si>
    <t>ENALAPRIL</t>
  </si>
  <si>
    <t>TECNICA DE ENFERMERIA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</si>
</sst>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8" borderId="0" xfId="0" applyFill="1" applyAlignment="1">
      <alignment horizontal="center" vertical="center"/>
    </xf>
    <xf numFmtId="0" fontId="0" fillId="9" borderId="0" xfId="0" applyFill="1"/>
    <xf numFmtId="0" fontId="2" fillId="5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/>
    <xf numFmtId="0" fontId="1" fillId="11" borderId="0" xfId="0" applyFont="1" applyFill="1" applyAlignment="1">
      <alignment horizontal="center" vertical="center"/>
    </xf>
    <xf numFmtId="0" fontId="1" fillId="11" borderId="0" xfId="0" applyFont="1" applyFill="1"/>
    <xf numFmtId="0" fontId="1" fillId="14" borderId="0" xfId="0" applyFont="1" applyFill="1" applyAlignment="1">
      <alignment horizontal="center" vertical="center"/>
    </xf>
    <xf numFmtId="0" fontId="1" fillId="14" borderId="0" xfId="0" applyFont="1" applyFill="1"/>
    <xf numFmtId="0" fontId="1" fillId="12" borderId="0" xfId="0" applyFont="1" applyFill="1" applyAlignment="1">
      <alignment horizontal="center" vertical="center"/>
    </xf>
    <xf numFmtId="0" fontId="1" fillId="12" borderId="0" xfId="0" applyFont="1" applyFill="1"/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39C-B39F-421D-9B22-9D398D85B3D6}">
  <dimension ref="A1:AS62"/>
  <sheetViews>
    <sheetView tabSelected="1" zoomScale="80" zoomScaleNormal="80" workbookViewId="0">
      <selection activeCell="Q5" sqref="Q5"/>
    </sheetView>
  </sheetViews>
  <sheetFormatPr baseColWidth="10" defaultRowHeight="14.25" x14ac:dyDescent="0.45"/>
  <cols>
    <col min="1" max="1" width="4.265625" customWidth="1"/>
    <col min="2" max="2" width="8.265625" style="1" customWidth="1"/>
    <col min="3" max="3" width="26.265625" style="1" customWidth="1"/>
    <col min="4" max="4" width="6.86328125" style="1" customWidth="1"/>
    <col min="5" max="5" width="7.3984375" style="1" bestFit="1" customWidth="1"/>
    <col min="6" max="6" width="15.59765625" style="1" customWidth="1"/>
    <col min="7" max="7" width="19.265625" style="1" customWidth="1"/>
    <col min="8" max="9" width="22.6640625" style="1" customWidth="1"/>
    <col min="10" max="10" width="28.06640625" style="1" customWidth="1"/>
    <col min="11" max="11" width="21.59765625" style="1" customWidth="1"/>
    <col min="12" max="12" width="21.33203125" style="1" customWidth="1"/>
    <col min="13" max="15" width="15.1328125" style="1" customWidth="1"/>
    <col min="16" max="16" width="26.06640625" style="1" bestFit="1" customWidth="1"/>
    <col min="17" max="17" width="13.6640625" style="1" customWidth="1"/>
    <col min="18" max="18" width="8.1328125" style="1" customWidth="1"/>
    <col min="19" max="19" width="7.59765625" style="1" customWidth="1"/>
    <col min="20" max="20" width="7.6640625" style="1" customWidth="1"/>
    <col min="21" max="21" width="9" style="1" customWidth="1"/>
    <col min="22" max="22" width="12.1328125" style="1" bestFit="1" customWidth="1"/>
    <col min="23" max="23" width="4.73046875" style="1" bestFit="1" customWidth="1"/>
    <col min="24" max="24" width="6.796875" style="1" customWidth="1"/>
    <col min="25" max="25" width="7.53125" style="1" customWidth="1"/>
    <col min="26" max="26" width="7.6640625" style="1" customWidth="1"/>
    <col min="27" max="27" width="8.73046875" style="1" bestFit="1" customWidth="1"/>
    <col min="28" max="29" width="7" style="18" customWidth="1"/>
    <col min="30" max="30" width="8" style="19" customWidth="1"/>
    <col min="31" max="31" width="8.6640625" style="20" customWidth="1"/>
    <col min="32" max="32" width="8.265625" style="20" customWidth="1"/>
    <col min="33" max="33" width="9.265625" style="21" customWidth="1"/>
    <col min="34" max="34" width="8.265625" style="22" customWidth="1"/>
    <col min="35" max="35" width="7.9296875" style="22" customWidth="1"/>
    <col min="36" max="36" width="9" style="23" customWidth="1"/>
    <col min="37" max="38" width="7" style="25" customWidth="1"/>
    <col min="39" max="39" width="7.86328125" style="27" customWidth="1"/>
    <col min="40" max="41" width="7" style="29" customWidth="1"/>
    <col min="42" max="42" width="7" style="31" customWidth="1"/>
    <col min="43" max="43" width="12.9296875" style="1" bestFit="1" customWidth="1"/>
    <col min="44" max="44" width="12.6640625" style="1" bestFit="1" customWidth="1"/>
  </cols>
  <sheetData>
    <row r="1" spans="1:45" ht="28.15" customHeight="1" x14ac:dyDescent="0.45">
      <c r="A1" s="9" t="s">
        <v>62</v>
      </c>
      <c r="B1" s="2" t="s">
        <v>63</v>
      </c>
      <c r="C1" s="39" t="s">
        <v>64</v>
      </c>
      <c r="D1" s="39" t="s">
        <v>65</v>
      </c>
      <c r="E1" s="2" t="s">
        <v>51</v>
      </c>
      <c r="F1" s="39" t="s">
        <v>66</v>
      </c>
      <c r="G1" s="2" t="s">
        <v>93</v>
      </c>
      <c r="H1" s="39" t="s">
        <v>106</v>
      </c>
      <c r="I1" s="39" t="s">
        <v>107</v>
      </c>
      <c r="J1" s="39" t="s">
        <v>108</v>
      </c>
      <c r="K1" s="39" t="s">
        <v>109</v>
      </c>
      <c r="L1" s="39" t="s">
        <v>110</v>
      </c>
      <c r="M1" s="39" t="s">
        <v>118</v>
      </c>
      <c r="N1" s="39" t="s">
        <v>119</v>
      </c>
      <c r="O1" s="39" t="s">
        <v>120</v>
      </c>
      <c r="P1" s="2" t="s">
        <v>67</v>
      </c>
      <c r="Q1" s="2" t="s">
        <v>92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68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69</v>
      </c>
      <c r="AB1" s="5" t="s">
        <v>71</v>
      </c>
      <c r="AC1" s="6" t="s">
        <v>72</v>
      </c>
      <c r="AD1" s="11" t="s">
        <v>70</v>
      </c>
      <c r="AE1" s="12" t="s">
        <v>73</v>
      </c>
      <c r="AF1" s="12" t="s">
        <v>74</v>
      </c>
      <c r="AG1" s="13" t="s">
        <v>75</v>
      </c>
      <c r="AH1" s="7" t="s">
        <v>76</v>
      </c>
      <c r="AI1" s="7" t="s">
        <v>77</v>
      </c>
      <c r="AJ1" s="8" t="s">
        <v>78</v>
      </c>
      <c r="AK1" s="16" t="s">
        <v>79</v>
      </c>
      <c r="AL1" s="16" t="s">
        <v>80</v>
      </c>
      <c r="AM1" s="14" t="s">
        <v>81</v>
      </c>
      <c r="AN1" s="17" t="s">
        <v>82</v>
      </c>
      <c r="AO1" s="17" t="s">
        <v>83</v>
      </c>
      <c r="AP1" s="15" t="s">
        <v>84</v>
      </c>
      <c r="AQ1" s="2" t="s">
        <v>90</v>
      </c>
      <c r="AR1" s="2" t="s">
        <v>94</v>
      </c>
      <c r="AS1" s="2" t="s">
        <v>104</v>
      </c>
    </row>
    <row r="2" spans="1:45" x14ac:dyDescent="0.45">
      <c r="A2" s="10">
        <v>1</v>
      </c>
      <c r="B2" s="1">
        <v>2019</v>
      </c>
      <c r="C2" s="1" t="s">
        <v>0</v>
      </c>
      <c r="D2" s="1" t="s">
        <v>1</v>
      </c>
      <c r="E2" s="1">
        <v>58</v>
      </c>
      <c r="F2" s="1" t="s">
        <v>2</v>
      </c>
      <c r="G2" s="1">
        <v>12</v>
      </c>
      <c r="H2" s="1" t="s">
        <v>3</v>
      </c>
      <c r="I2" s="33" t="s">
        <v>105</v>
      </c>
      <c r="J2" s="33" t="s">
        <v>43</v>
      </c>
      <c r="K2" s="33" t="s">
        <v>34</v>
      </c>
      <c r="L2" s="33" t="s">
        <v>10</v>
      </c>
      <c r="M2" s="33" t="s">
        <v>114</v>
      </c>
      <c r="N2" s="33" t="s">
        <v>105</v>
      </c>
      <c r="O2" s="33" t="s">
        <v>105</v>
      </c>
      <c r="P2" s="1">
        <v>2</v>
      </c>
      <c r="Q2" s="1">
        <v>11</v>
      </c>
      <c r="R2" s="1">
        <v>1.2</v>
      </c>
      <c r="S2" s="1">
        <v>4.33</v>
      </c>
      <c r="T2" s="1">
        <v>0.76</v>
      </c>
      <c r="U2" s="1">
        <v>0.9</v>
      </c>
      <c r="V2" s="1">
        <v>0</v>
      </c>
      <c r="W2" s="1">
        <v>0</v>
      </c>
      <c r="X2" s="1">
        <v>136</v>
      </c>
      <c r="Y2" s="1">
        <v>5</v>
      </c>
      <c r="Z2" s="1">
        <v>8</v>
      </c>
      <c r="AA2" s="1">
        <v>12</v>
      </c>
      <c r="AB2" s="18">
        <v>20</v>
      </c>
      <c r="AC2" s="18">
        <f t="shared" ref="AC2:AC33" si="0">38.98-(E2*0.42)+(Q2*1.331)</f>
        <v>29.260999999999996</v>
      </c>
      <c r="AD2" s="19">
        <f t="shared" ref="AD2:AD33" si="1">(AC2-AB2)/13</f>
        <v>0.71238461538461506</v>
      </c>
      <c r="AE2" s="20">
        <v>88</v>
      </c>
      <c r="AF2" s="20">
        <f t="shared" ref="AF2:AF33" si="2">40.01+(E2*0.365)-(Q2*1.708)</f>
        <v>42.391999999999996</v>
      </c>
      <c r="AG2" s="21">
        <f>(AF2-AE2)/16</f>
        <v>-2.8505000000000003</v>
      </c>
      <c r="AH2" s="22">
        <v>237</v>
      </c>
      <c r="AI2" s="22">
        <f t="shared" ref="AI2:AI33" si="3">104.13+(E2*0.942)-(Q2*4.788)</f>
        <v>106.09799999999998</v>
      </c>
      <c r="AJ2" s="23">
        <f>(AI2-AH2)/44</f>
        <v>-2.9750454545454548</v>
      </c>
      <c r="AK2" s="24">
        <v>100</v>
      </c>
      <c r="AL2" s="24">
        <f t="shared" ref="AL2:AL33" si="4">64.66+(E2*0.499)-(Q2*1.238)</f>
        <v>79.984000000000009</v>
      </c>
      <c r="AM2" s="26">
        <f>(AL2-AK2)/18</f>
        <v>-1.1119999999999994</v>
      </c>
      <c r="AN2" s="28">
        <v>81</v>
      </c>
      <c r="AO2" s="28">
        <f t="shared" ref="AO2:AO33" si="5">83.04+(E2*0.565)-(Q2*1.158)</f>
        <v>103.072</v>
      </c>
      <c r="AP2" s="30">
        <f>(AO2-AN2)/20</f>
        <v>1.1036000000000001</v>
      </c>
      <c r="AQ2" s="3">
        <f>SUM(AD2,AG2,AJ2,AM2,AP2)</f>
        <v>-5.1215608391608392</v>
      </c>
      <c r="AR2" s="1" t="str">
        <f>IF(ROUND(AQ2,0)&lt;-4,"EHM","NO EHM")</f>
        <v>EHM</v>
      </c>
      <c r="AS2" s="34" t="str">
        <f>IF(P2=0,"NO","SI")</f>
        <v>SI</v>
      </c>
    </row>
    <row r="3" spans="1:45" x14ac:dyDescent="0.45">
      <c r="A3" s="10">
        <v>2</v>
      </c>
      <c r="B3" s="1">
        <v>2019</v>
      </c>
      <c r="C3" s="1" t="s">
        <v>4</v>
      </c>
      <c r="D3" s="1" t="s">
        <v>5</v>
      </c>
      <c r="E3" s="1">
        <v>37</v>
      </c>
      <c r="F3" s="1" t="s">
        <v>6</v>
      </c>
      <c r="G3" s="1">
        <v>11</v>
      </c>
      <c r="H3" s="1" t="s">
        <v>105</v>
      </c>
      <c r="I3" s="33" t="s">
        <v>105</v>
      </c>
      <c r="J3" s="4" t="s">
        <v>7</v>
      </c>
      <c r="K3" s="33" t="s">
        <v>105</v>
      </c>
      <c r="L3" s="33" t="s">
        <v>105</v>
      </c>
      <c r="M3" s="33" t="s">
        <v>105</v>
      </c>
      <c r="N3" s="33" t="s">
        <v>105</v>
      </c>
      <c r="O3" s="33" t="s">
        <v>105</v>
      </c>
      <c r="P3" s="1">
        <v>0</v>
      </c>
      <c r="Q3" s="1">
        <v>11</v>
      </c>
      <c r="R3" s="1">
        <v>1.1399999999999999</v>
      </c>
      <c r="S3" s="1">
        <v>4.1399999999999997</v>
      </c>
      <c r="T3" s="1">
        <v>0.79</v>
      </c>
      <c r="U3" s="1">
        <v>2.4500000000000002</v>
      </c>
      <c r="V3" s="1">
        <v>0</v>
      </c>
      <c r="W3" s="1">
        <v>0</v>
      </c>
      <c r="X3" s="1">
        <v>136</v>
      </c>
      <c r="Y3" s="1">
        <v>6</v>
      </c>
      <c r="Z3" s="1">
        <v>11</v>
      </c>
      <c r="AA3" s="1">
        <v>14</v>
      </c>
      <c r="AB3" s="18">
        <v>47</v>
      </c>
      <c r="AC3" s="18">
        <f t="shared" si="0"/>
        <v>38.080999999999996</v>
      </c>
      <c r="AD3" s="19">
        <f t="shared" si="1"/>
        <v>-0.68607692307692336</v>
      </c>
      <c r="AE3" s="20">
        <v>49</v>
      </c>
      <c r="AF3" s="20">
        <f t="shared" si="2"/>
        <v>34.727000000000004</v>
      </c>
      <c r="AG3" s="21">
        <f t="shared" ref="AG3:AG62" si="6">(AF3-AE3)/16</f>
        <v>-0.89206249999999976</v>
      </c>
      <c r="AH3" s="22">
        <v>114</v>
      </c>
      <c r="AI3" s="22">
        <f t="shared" si="3"/>
        <v>86.315999999999974</v>
      </c>
      <c r="AJ3" s="23">
        <f t="shared" ref="AJ3:AJ62" si="7">(AI3-AH3)/44</f>
        <v>-0.62918181818181873</v>
      </c>
      <c r="AK3" s="24">
        <v>68</v>
      </c>
      <c r="AL3" s="24">
        <f t="shared" si="4"/>
        <v>69.504999999999995</v>
      </c>
      <c r="AM3" s="26">
        <f t="shared" ref="AM3:AM62" si="8">(AL3-AK3)/18</f>
        <v>8.3611111111110858E-2</v>
      </c>
      <c r="AN3" s="28">
        <v>105</v>
      </c>
      <c r="AO3" s="28">
        <f t="shared" si="5"/>
        <v>91.207000000000008</v>
      </c>
      <c r="AP3" s="30">
        <f t="shared" ref="AP3:AP62" si="9">(AO3-AN3)/20</f>
        <v>-0.68964999999999965</v>
      </c>
      <c r="AQ3" s="3">
        <f t="shared" ref="AQ3:AQ62" si="10">SUM(AD3,AG3,AJ3,AM3,AP3)</f>
        <v>-2.8133601301476308</v>
      </c>
      <c r="AR3" s="1" t="str">
        <f t="shared" ref="AR3:AR62" si="11">IF(ROUND(AQ3,0)&lt;-4,"EHM","NO EHM")</f>
        <v>NO EHM</v>
      </c>
      <c r="AS3" s="34" t="str">
        <f t="shared" ref="AS3:AS62" si="12">IF(P3=0,"NO","SI")</f>
        <v>NO</v>
      </c>
    </row>
    <row r="4" spans="1:45" x14ac:dyDescent="0.45">
      <c r="A4" s="10">
        <v>3</v>
      </c>
      <c r="B4" s="1">
        <v>2019</v>
      </c>
      <c r="C4" s="1" t="s">
        <v>8</v>
      </c>
      <c r="D4" s="1" t="s">
        <v>1</v>
      </c>
      <c r="E4" s="1">
        <v>62</v>
      </c>
      <c r="F4" s="1" t="s">
        <v>9</v>
      </c>
      <c r="G4" s="1">
        <v>10</v>
      </c>
      <c r="H4" s="1" t="s">
        <v>105</v>
      </c>
      <c r="I4" s="33" t="s">
        <v>105</v>
      </c>
      <c r="J4" s="4" t="s">
        <v>10</v>
      </c>
      <c r="K4" s="33" t="s">
        <v>105</v>
      </c>
      <c r="L4" s="33" t="s">
        <v>105</v>
      </c>
      <c r="M4" s="33" t="s">
        <v>105</v>
      </c>
      <c r="N4" s="33" t="s">
        <v>105</v>
      </c>
      <c r="O4" s="33" t="s">
        <v>105</v>
      </c>
      <c r="P4" s="1">
        <v>0</v>
      </c>
      <c r="Q4" s="1">
        <v>13</v>
      </c>
      <c r="R4" s="1">
        <v>1.1000000000000001</v>
      </c>
      <c r="S4" s="1">
        <v>4.58</v>
      </c>
      <c r="T4" s="1">
        <v>0.69</v>
      </c>
      <c r="U4" s="1">
        <v>0.88</v>
      </c>
      <c r="V4" s="1">
        <v>0</v>
      </c>
      <c r="W4" s="1">
        <v>0</v>
      </c>
      <c r="X4" s="1">
        <v>142</v>
      </c>
      <c r="Y4" s="1">
        <v>5</v>
      </c>
      <c r="Z4" s="1">
        <v>7</v>
      </c>
      <c r="AA4" s="1">
        <v>7</v>
      </c>
      <c r="AB4" s="18">
        <v>37</v>
      </c>
      <c r="AC4" s="18">
        <f t="shared" si="0"/>
        <v>30.242999999999999</v>
      </c>
      <c r="AD4" s="19">
        <f t="shared" si="1"/>
        <v>-0.51976923076923087</v>
      </c>
      <c r="AE4" s="20">
        <v>55</v>
      </c>
      <c r="AF4" s="20">
        <f t="shared" si="2"/>
        <v>40.436</v>
      </c>
      <c r="AG4" s="21">
        <f t="shared" si="6"/>
        <v>-0.91025</v>
      </c>
      <c r="AH4" s="22">
        <v>95</v>
      </c>
      <c r="AI4" s="22">
        <f t="shared" si="3"/>
        <v>100.28999999999999</v>
      </c>
      <c r="AJ4" s="23">
        <f t="shared" si="7"/>
        <v>0.12022727272727254</v>
      </c>
      <c r="AK4" s="24">
        <v>100</v>
      </c>
      <c r="AL4" s="24">
        <f t="shared" si="4"/>
        <v>79.503999999999991</v>
      </c>
      <c r="AM4" s="26">
        <f t="shared" si="8"/>
        <v>-1.1386666666666672</v>
      </c>
      <c r="AN4" s="28">
        <v>80</v>
      </c>
      <c r="AO4" s="28">
        <f t="shared" si="5"/>
        <v>103.01599999999999</v>
      </c>
      <c r="AP4" s="30">
        <f t="shared" si="9"/>
        <v>1.1507999999999996</v>
      </c>
      <c r="AQ4" s="3">
        <f t="shared" si="10"/>
        <v>-1.2976586247086261</v>
      </c>
      <c r="AR4" s="1" t="str">
        <f t="shared" si="11"/>
        <v>NO EHM</v>
      </c>
      <c r="AS4" s="34" t="str">
        <f t="shared" si="12"/>
        <v>NO</v>
      </c>
    </row>
    <row r="5" spans="1:45" x14ac:dyDescent="0.45">
      <c r="A5" s="10">
        <v>4</v>
      </c>
      <c r="B5" s="1">
        <v>2019</v>
      </c>
      <c r="C5" s="1" t="s">
        <v>4</v>
      </c>
      <c r="D5" s="1" t="s">
        <v>5</v>
      </c>
      <c r="E5" s="1">
        <v>54</v>
      </c>
      <c r="F5" s="1" t="s">
        <v>2</v>
      </c>
      <c r="G5" s="1">
        <v>20</v>
      </c>
      <c r="H5" s="1" t="s">
        <v>3</v>
      </c>
      <c r="I5" s="33" t="s">
        <v>105</v>
      </c>
      <c r="J5" s="33" t="s">
        <v>111</v>
      </c>
      <c r="K5" s="33" t="s">
        <v>34</v>
      </c>
      <c r="L5" s="33" t="s">
        <v>43</v>
      </c>
      <c r="M5" s="33" t="s">
        <v>105</v>
      </c>
      <c r="N5" s="33" t="s">
        <v>105</v>
      </c>
      <c r="O5" s="33" t="s">
        <v>105</v>
      </c>
      <c r="P5" s="1">
        <v>2</v>
      </c>
      <c r="Q5" s="1">
        <v>11</v>
      </c>
      <c r="R5" s="1">
        <v>0.9</v>
      </c>
      <c r="S5" s="1">
        <v>4.53</v>
      </c>
      <c r="T5" s="1">
        <v>0.92</v>
      </c>
      <c r="U5" s="1">
        <v>0.65</v>
      </c>
      <c r="V5" s="1">
        <v>0</v>
      </c>
      <c r="W5" s="1">
        <v>0</v>
      </c>
      <c r="X5" s="1">
        <v>138</v>
      </c>
      <c r="Y5" s="1">
        <v>5</v>
      </c>
      <c r="Z5" s="1">
        <v>6</v>
      </c>
      <c r="AA5" s="1">
        <v>8</v>
      </c>
      <c r="AB5" s="18">
        <v>26</v>
      </c>
      <c r="AC5" s="18">
        <f t="shared" si="0"/>
        <v>30.940999999999995</v>
      </c>
      <c r="AD5" s="19">
        <f t="shared" si="1"/>
        <v>0.3800769230769227</v>
      </c>
      <c r="AE5" s="20">
        <v>114</v>
      </c>
      <c r="AF5" s="20">
        <f t="shared" si="2"/>
        <v>40.932000000000002</v>
      </c>
      <c r="AG5" s="21">
        <f t="shared" si="6"/>
        <v>-4.5667499999999999</v>
      </c>
      <c r="AH5" s="22">
        <v>291</v>
      </c>
      <c r="AI5" s="22">
        <f t="shared" si="3"/>
        <v>102.32999999999998</v>
      </c>
      <c r="AJ5" s="23">
        <f t="shared" si="7"/>
        <v>-4.2879545454545456</v>
      </c>
      <c r="AK5" s="24">
        <v>58</v>
      </c>
      <c r="AL5" s="24">
        <f t="shared" si="4"/>
        <v>77.988</v>
      </c>
      <c r="AM5" s="26">
        <f t="shared" si="8"/>
        <v>1.1104444444444443</v>
      </c>
      <c r="AN5" s="28">
        <v>102</v>
      </c>
      <c r="AO5" s="28">
        <f t="shared" si="5"/>
        <v>100.81200000000001</v>
      </c>
      <c r="AP5" s="30">
        <f t="shared" si="9"/>
        <v>-5.9399999999999412E-2</v>
      </c>
      <c r="AQ5" s="3">
        <f t="shared" si="10"/>
        <v>-7.4235831779331782</v>
      </c>
      <c r="AR5" s="1" t="str">
        <f t="shared" si="11"/>
        <v>EHM</v>
      </c>
      <c r="AS5" s="34" t="str">
        <f t="shared" si="12"/>
        <v>SI</v>
      </c>
    </row>
    <row r="6" spans="1:45" x14ac:dyDescent="0.45">
      <c r="A6" s="10">
        <v>5</v>
      </c>
      <c r="B6" s="1">
        <v>2019</v>
      </c>
      <c r="C6" s="1" t="s">
        <v>4</v>
      </c>
      <c r="D6" s="1" t="s">
        <v>5</v>
      </c>
      <c r="E6" s="1">
        <v>53</v>
      </c>
      <c r="F6" s="1" t="s">
        <v>2</v>
      </c>
      <c r="G6" s="1">
        <v>17</v>
      </c>
      <c r="H6" s="1" t="s">
        <v>105</v>
      </c>
      <c r="I6" s="33" t="s">
        <v>105</v>
      </c>
      <c r="J6" s="33" t="s">
        <v>111</v>
      </c>
      <c r="K6" s="33" t="s">
        <v>34</v>
      </c>
      <c r="L6" s="33" t="s">
        <v>113</v>
      </c>
      <c r="M6" s="33" t="s">
        <v>105</v>
      </c>
      <c r="N6" s="33" t="s">
        <v>105</v>
      </c>
      <c r="O6" s="33" t="s">
        <v>105</v>
      </c>
      <c r="P6" s="1">
        <v>2</v>
      </c>
      <c r="Q6" s="1">
        <v>11</v>
      </c>
      <c r="R6" s="1">
        <v>1.1000000000000001</v>
      </c>
      <c r="S6" s="1">
        <v>3.64</v>
      </c>
      <c r="T6" s="1">
        <v>0.62</v>
      </c>
      <c r="U6" s="1">
        <v>0.94</v>
      </c>
      <c r="V6" s="1">
        <v>0</v>
      </c>
      <c r="W6" s="1">
        <v>0</v>
      </c>
      <c r="X6" s="1">
        <v>141</v>
      </c>
      <c r="Y6" s="1">
        <v>5</v>
      </c>
      <c r="Z6" s="1">
        <v>7</v>
      </c>
      <c r="AA6" s="1">
        <v>7</v>
      </c>
      <c r="AB6" s="18">
        <v>27</v>
      </c>
      <c r="AC6" s="18">
        <f t="shared" si="0"/>
        <v>31.360999999999997</v>
      </c>
      <c r="AD6" s="19">
        <f t="shared" si="1"/>
        <v>0.33546153846153826</v>
      </c>
      <c r="AE6" s="20">
        <v>54</v>
      </c>
      <c r="AF6" s="20">
        <f t="shared" si="2"/>
        <v>40.566999999999993</v>
      </c>
      <c r="AG6" s="21">
        <f t="shared" si="6"/>
        <v>-0.83956250000000043</v>
      </c>
      <c r="AH6" s="22">
        <v>122</v>
      </c>
      <c r="AI6" s="22">
        <f t="shared" si="3"/>
        <v>101.38799999999998</v>
      </c>
      <c r="AJ6" s="23">
        <f t="shared" si="7"/>
        <v>-0.46845454545454596</v>
      </c>
      <c r="AK6" s="24">
        <v>79</v>
      </c>
      <c r="AL6" s="24">
        <f t="shared" si="4"/>
        <v>77.489000000000004</v>
      </c>
      <c r="AM6" s="26">
        <f t="shared" si="8"/>
        <v>-8.3944444444444211E-2</v>
      </c>
      <c r="AN6" s="28">
        <v>97</v>
      </c>
      <c r="AO6" s="28">
        <f t="shared" si="5"/>
        <v>100.247</v>
      </c>
      <c r="AP6" s="30">
        <f t="shared" si="9"/>
        <v>0.16234999999999999</v>
      </c>
      <c r="AQ6" s="3">
        <f t="shared" si="10"/>
        <v>-0.89414995143745224</v>
      </c>
      <c r="AR6" s="1" t="str">
        <f t="shared" si="11"/>
        <v>NO EHM</v>
      </c>
      <c r="AS6" s="34" t="str">
        <f t="shared" si="12"/>
        <v>SI</v>
      </c>
    </row>
    <row r="7" spans="1:45" x14ac:dyDescent="0.45">
      <c r="A7" s="10">
        <v>6</v>
      </c>
      <c r="B7" s="1">
        <v>2019</v>
      </c>
      <c r="C7" s="1" t="s">
        <v>4</v>
      </c>
      <c r="D7" s="1" t="s">
        <v>5</v>
      </c>
      <c r="E7" s="1">
        <v>46</v>
      </c>
      <c r="F7" s="1" t="s">
        <v>11</v>
      </c>
      <c r="G7" s="1">
        <v>9</v>
      </c>
      <c r="H7" s="33" t="s">
        <v>47</v>
      </c>
      <c r="I7" s="33" t="s">
        <v>33</v>
      </c>
      <c r="J7" s="33" t="s">
        <v>112</v>
      </c>
      <c r="K7" s="33" t="s">
        <v>121</v>
      </c>
      <c r="L7" s="33" t="s">
        <v>111</v>
      </c>
      <c r="M7" s="33" t="s">
        <v>24</v>
      </c>
      <c r="N7" s="33" t="s">
        <v>10</v>
      </c>
      <c r="O7" s="33" t="s">
        <v>113</v>
      </c>
      <c r="P7" s="1">
        <v>0</v>
      </c>
      <c r="Q7" s="1">
        <v>12</v>
      </c>
      <c r="R7" s="1">
        <v>1.0900000000000001</v>
      </c>
      <c r="S7" s="1">
        <v>4.0599999999999996</v>
      </c>
      <c r="T7" s="1">
        <v>0.98</v>
      </c>
      <c r="U7" s="1">
        <v>0.9</v>
      </c>
      <c r="V7" s="1">
        <v>0</v>
      </c>
      <c r="W7" s="1">
        <v>0</v>
      </c>
      <c r="X7" s="1">
        <v>141</v>
      </c>
      <c r="Y7" s="1">
        <v>5</v>
      </c>
      <c r="Z7" s="1">
        <v>7</v>
      </c>
      <c r="AA7" s="1">
        <v>7</v>
      </c>
      <c r="AB7" s="18">
        <v>39</v>
      </c>
      <c r="AC7" s="18">
        <f t="shared" si="0"/>
        <v>35.631999999999998</v>
      </c>
      <c r="AD7" s="19">
        <f t="shared" si="1"/>
        <v>-0.25907692307692326</v>
      </c>
      <c r="AE7" s="20">
        <v>46</v>
      </c>
      <c r="AF7" s="20">
        <f t="shared" si="2"/>
        <v>36.304000000000002</v>
      </c>
      <c r="AG7" s="21">
        <f t="shared" si="6"/>
        <v>-0.60599999999999987</v>
      </c>
      <c r="AH7" s="22">
        <v>90</v>
      </c>
      <c r="AI7" s="22">
        <f t="shared" si="3"/>
        <v>90.005999999999986</v>
      </c>
      <c r="AJ7" s="23">
        <f t="shared" si="7"/>
        <v>1.3636363636331856E-4</v>
      </c>
      <c r="AK7" s="24">
        <v>108</v>
      </c>
      <c r="AL7" s="24">
        <f t="shared" si="4"/>
        <v>72.75800000000001</v>
      </c>
      <c r="AM7" s="26">
        <f t="shared" si="8"/>
        <v>-1.9578888888888883</v>
      </c>
      <c r="AN7" s="28">
        <v>122</v>
      </c>
      <c r="AO7" s="28">
        <f t="shared" si="5"/>
        <v>95.134</v>
      </c>
      <c r="AP7" s="30">
        <f t="shared" si="9"/>
        <v>-1.3432999999999999</v>
      </c>
      <c r="AQ7" s="3">
        <f t="shared" si="10"/>
        <v>-4.166129448329448</v>
      </c>
      <c r="AR7" s="1" t="str">
        <f t="shared" si="11"/>
        <v>NO EHM</v>
      </c>
      <c r="AS7" s="34" t="str">
        <f t="shared" si="12"/>
        <v>NO</v>
      </c>
    </row>
    <row r="8" spans="1:45" x14ac:dyDescent="0.45">
      <c r="A8" s="10">
        <v>7</v>
      </c>
      <c r="B8" s="1">
        <v>2019</v>
      </c>
      <c r="C8" s="1" t="s">
        <v>4</v>
      </c>
      <c r="D8" s="1" t="s">
        <v>5</v>
      </c>
      <c r="E8" s="1">
        <v>27</v>
      </c>
      <c r="F8" s="33" t="s">
        <v>39</v>
      </c>
      <c r="G8" s="1">
        <v>12</v>
      </c>
      <c r="H8" s="1" t="s">
        <v>105</v>
      </c>
      <c r="I8" s="33" t="s">
        <v>105</v>
      </c>
      <c r="J8" s="4" t="s">
        <v>7</v>
      </c>
      <c r="K8" s="33" t="s">
        <v>105</v>
      </c>
      <c r="L8" s="33" t="s">
        <v>105</v>
      </c>
      <c r="M8" s="33" t="s">
        <v>105</v>
      </c>
      <c r="N8" s="33" t="s">
        <v>105</v>
      </c>
      <c r="O8" s="33" t="s">
        <v>105</v>
      </c>
      <c r="P8" s="1">
        <v>0</v>
      </c>
      <c r="Q8" s="1">
        <v>11</v>
      </c>
      <c r="R8" s="1">
        <v>1.3</v>
      </c>
      <c r="S8" s="1">
        <v>3.83</v>
      </c>
      <c r="T8" s="1">
        <v>1.4</v>
      </c>
      <c r="U8" s="1">
        <v>2.46</v>
      </c>
      <c r="V8" s="1">
        <v>0</v>
      </c>
      <c r="W8" s="1">
        <v>0</v>
      </c>
      <c r="X8" s="1">
        <v>139</v>
      </c>
      <c r="Y8" s="1">
        <v>6</v>
      </c>
      <c r="Z8" s="1">
        <v>13</v>
      </c>
      <c r="AA8" s="1">
        <v>17</v>
      </c>
      <c r="AB8" s="18">
        <v>42</v>
      </c>
      <c r="AC8" s="18">
        <f t="shared" si="0"/>
        <v>42.280999999999999</v>
      </c>
      <c r="AD8" s="19">
        <f t="shared" si="1"/>
        <v>2.1615384615384522E-2</v>
      </c>
      <c r="AE8" s="20">
        <v>42</v>
      </c>
      <c r="AF8" s="20">
        <f t="shared" si="2"/>
        <v>31.076999999999995</v>
      </c>
      <c r="AG8" s="21">
        <f t="shared" si="6"/>
        <v>-0.68268750000000034</v>
      </c>
      <c r="AH8" s="22">
        <v>90</v>
      </c>
      <c r="AI8" s="22">
        <f t="shared" si="3"/>
        <v>76.895999999999987</v>
      </c>
      <c r="AJ8" s="23">
        <f t="shared" si="7"/>
        <v>-0.29781818181818215</v>
      </c>
      <c r="AK8" s="24">
        <v>75</v>
      </c>
      <c r="AL8" s="24">
        <f t="shared" si="4"/>
        <v>64.515000000000001</v>
      </c>
      <c r="AM8" s="26">
        <f t="shared" si="8"/>
        <v>-0.58250000000000002</v>
      </c>
      <c r="AN8" s="28">
        <v>78</v>
      </c>
      <c r="AO8" s="28">
        <f t="shared" si="5"/>
        <v>85.557000000000002</v>
      </c>
      <c r="AP8" s="30">
        <f t="shared" si="9"/>
        <v>0.37785000000000013</v>
      </c>
      <c r="AQ8" s="3">
        <f t="shared" si="10"/>
        <v>-1.1635402972027977</v>
      </c>
      <c r="AR8" s="1" t="str">
        <f t="shared" si="11"/>
        <v>NO EHM</v>
      </c>
      <c r="AS8" s="34" t="str">
        <f t="shared" si="12"/>
        <v>NO</v>
      </c>
    </row>
    <row r="9" spans="1:45" x14ac:dyDescent="0.45">
      <c r="A9" s="10">
        <v>8</v>
      </c>
      <c r="B9" s="1">
        <v>2019</v>
      </c>
      <c r="C9" s="1" t="s">
        <v>12</v>
      </c>
      <c r="D9" s="1" t="s">
        <v>5</v>
      </c>
      <c r="E9" s="1">
        <v>60</v>
      </c>
      <c r="F9" s="1" t="s">
        <v>2</v>
      </c>
      <c r="G9" s="1">
        <v>18</v>
      </c>
      <c r="H9" s="33" t="s">
        <v>3</v>
      </c>
      <c r="I9" s="33" t="s">
        <v>47</v>
      </c>
      <c r="J9" s="33" t="s">
        <v>43</v>
      </c>
      <c r="K9" s="33" t="s">
        <v>105</v>
      </c>
      <c r="L9" s="33" t="s">
        <v>105</v>
      </c>
      <c r="M9" s="33" t="s">
        <v>105</v>
      </c>
      <c r="N9" s="33" t="s">
        <v>105</v>
      </c>
      <c r="O9" s="33" t="s">
        <v>105</v>
      </c>
      <c r="P9" s="1">
        <v>0</v>
      </c>
      <c r="Q9" s="1">
        <v>11</v>
      </c>
      <c r="R9" s="1">
        <v>1.03</v>
      </c>
      <c r="S9" s="1">
        <v>4.49</v>
      </c>
      <c r="T9" s="1">
        <v>0.6</v>
      </c>
      <c r="U9" s="1">
        <v>0.96</v>
      </c>
      <c r="V9" s="1">
        <v>0</v>
      </c>
      <c r="W9" s="1">
        <v>0</v>
      </c>
      <c r="X9" s="1">
        <v>141</v>
      </c>
      <c r="Y9" s="1">
        <v>5</v>
      </c>
      <c r="Z9" s="1">
        <v>7</v>
      </c>
      <c r="AA9" s="1">
        <v>7</v>
      </c>
      <c r="AB9" s="18">
        <v>27</v>
      </c>
      <c r="AC9" s="18">
        <f t="shared" si="0"/>
        <v>28.420999999999999</v>
      </c>
      <c r="AD9" s="19">
        <f t="shared" si="1"/>
        <v>0.10930769230769226</v>
      </c>
      <c r="AE9" s="20">
        <v>84</v>
      </c>
      <c r="AF9" s="20">
        <f t="shared" si="2"/>
        <v>43.122</v>
      </c>
      <c r="AG9" s="21">
        <f t="shared" si="6"/>
        <v>-2.554875</v>
      </c>
      <c r="AH9" s="22">
        <v>216</v>
      </c>
      <c r="AI9" s="22">
        <f t="shared" si="3"/>
        <v>107.98199999999997</v>
      </c>
      <c r="AJ9" s="23">
        <f t="shared" si="7"/>
        <v>-2.4549545454545463</v>
      </c>
      <c r="AK9" s="24">
        <v>86</v>
      </c>
      <c r="AL9" s="24">
        <f t="shared" si="4"/>
        <v>80.981999999999999</v>
      </c>
      <c r="AM9" s="26">
        <f t="shared" si="8"/>
        <v>-0.27877777777777779</v>
      </c>
      <c r="AN9" s="28">
        <v>94</v>
      </c>
      <c r="AO9" s="28">
        <f t="shared" si="5"/>
        <v>104.202</v>
      </c>
      <c r="AP9" s="30">
        <f t="shared" si="9"/>
        <v>0.51009999999999989</v>
      </c>
      <c r="AQ9" s="3">
        <f t="shared" si="10"/>
        <v>-4.6691996309246324</v>
      </c>
      <c r="AR9" s="1" t="str">
        <f t="shared" si="11"/>
        <v>EHM</v>
      </c>
      <c r="AS9" s="34" t="str">
        <f t="shared" si="12"/>
        <v>NO</v>
      </c>
    </row>
    <row r="10" spans="1:45" x14ac:dyDescent="0.45">
      <c r="A10" s="10">
        <v>9</v>
      </c>
      <c r="B10" s="1">
        <v>2019</v>
      </c>
      <c r="C10" s="1" t="s">
        <v>4</v>
      </c>
      <c r="D10" s="1" t="s">
        <v>5</v>
      </c>
      <c r="E10" s="1">
        <v>52</v>
      </c>
      <c r="F10" s="1" t="s">
        <v>11</v>
      </c>
      <c r="G10" s="1">
        <v>60</v>
      </c>
      <c r="H10" s="1" t="s">
        <v>105</v>
      </c>
      <c r="I10" s="33" t="s">
        <v>105</v>
      </c>
      <c r="J10" s="33" t="s">
        <v>34</v>
      </c>
      <c r="K10" s="33" t="s">
        <v>111</v>
      </c>
      <c r="L10" s="33" t="s">
        <v>113</v>
      </c>
      <c r="M10" s="33" t="s">
        <v>105</v>
      </c>
      <c r="N10" s="33" t="s">
        <v>105</v>
      </c>
      <c r="O10" s="33" t="s">
        <v>105</v>
      </c>
      <c r="P10" s="1">
        <v>2</v>
      </c>
      <c r="Q10" s="1">
        <v>17</v>
      </c>
      <c r="R10" s="1">
        <v>1.1000000000000001</v>
      </c>
      <c r="S10" s="1">
        <v>3.94</v>
      </c>
      <c r="T10" s="1">
        <v>0.55000000000000004</v>
      </c>
      <c r="U10" s="1">
        <v>5.01</v>
      </c>
      <c r="V10" s="1">
        <v>0</v>
      </c>
      <c r="W10" s="1">
        <v>0</v>
      </c>
      <c r="X10" s="1">
        <v>136</v>
      </c>
      <c r="Y10" s="1">
        <v>7</v>
      </c>
      <c r="Z10" s="1">
        <v>15</v>
      </c>
      <c r="AA10" s="1">
        <v>16</v>
      </c>
      <c r="AB10" s="18">
        <v>27</v>
      </c>
      <c r="AC10" s="18">
        <f t="shared" si="0"/>
        <v>39.766999999999996</v>
      </c>
      <c r="AD10" s="19">
        <f t="shared" si="1"/>
        <v>0.98207692307692274</v>
      </c>
      <c r="AE10" s="20">
        <v>63</v>
      </c>
      <c r="AF10" s="20">
        <f t="shared" si="2"/>
        <v>29.953999999999997</v>
      </c>
      <c r="AG10" s="21">
        <f t="shared" si="6"/>
        <v>-2.0653750000000004</v>
      </c>
      <c r="AH10" s="22">
        <v>193</v>
      </c>
      <c r="AI10" s="22">
        <f t="shared" si="3"/>
        <v>71.717999999999975</v>
      </c>
      <c r="AJ10" s="23">
        <f t="shared" si="7"/>
        <v>-2.7564090909090915</v>
      </c>
      <c r="AK10" s="24">
        <v>88</v>
      </c>
      <c r="AL10" s="24">
        <f t="shared" si="4"/>
        <v>69.562000000000012</v>
      </c>
      <c r="AM10" s="26">
        <f t="shared" si="8"/>
        <v>-1.0243333333333327</v>
      </c>
      <c r="AN10" s="28">
        <v>145</v>
      </c>
      <c r="AO10" s="28">
        <f t="shared" si="5"/>
        <v>92.734000000000009</v>
      </c>
      <c r="AP10" s="30">
        <f t="shared" si="9"/>
        <v>-2.6132999999999997</v>
      </c>
      <c r="AQ10" s="3">
        <f t="shared" si="10"/>
        <v>-7.4773405011655019</v>
      </c>
      <c r="AR10" s="1" t="str">
        <f t="shared" si="11"/>
        <v>EHM</v>
      </c>
      <c r="AS10" s="34" t="str">
        <f t="shared" si="12"/>
        <v>SI</v>
      </c>
    </row>
    <row r="11" spans="1:45" x14ac:dyDescent="0.45">
      <c r="A11" s="10">
        <v>10</v>
      </c>
      <c r="B11" s="1">
        <v>2019</v>
      </c>
      <c r="C11" s="1" t="s">
        <v>8</v>
      </c>
      <c r="D11" s="1" t="s">
        <v>1</v>
      </c>
      <c r="E11" s="1">
        <v>56</v>
      </c>
      <c r="F11" s="1" t="s">
        <v>2</v>
      </c>
      <c r="G11" s="1">
        <v>17</v>
      </c>
      <c r="H11" s="1" t="s">
        <v>105</v>
      </c>
      <c r="I11" s="33" t="s">
        <v>105</v>
      </c>
      <c r="J11" s="33" t="s">
        <v>105</v>
      </c>
      <c r="K11" s="33" t="s">
        <v>105</v>
      </c>
      <c r="L11" s="33" t="s">
        <v>105</v>
      </c>
      <c r="M11" s="33" t="s">
        <v>105</v>
      </c>
      <c r="N11" s="33" t="s">
        <v>105</v>
      </c>
      <c r="O11" s="33" t="s">
        <v>105</v>
      </c>
      <c r="P11" s="1">
        <v>0</v>
      </c>
      <c r="Q11" s="1">
        <v>13</v>
      </c>
      <c r="R11" s="1">
        <v>0.96</v>
      </c>
      <c r="S11" s="1">
        <v>4.5999999999999996</v>
      </c>
      <c r="T11" s="1">
        <v>0.89</v>
      </c>
      <c r="U11" s="1">
        <v>2</v>
      </c>
      <c r="V11" s="1">
        <v>0</v>
      </c>
      <c r="W11" s="1">
        <v>0</v>
      </c>
      <c r="X11" s="1">
        <v>136</v>
      </c>
      <c r="Y11" s="1">
        <v>5</v>
      </c>
      <c r="Z11" s="1">
        <v>9</v>
      </c>
      <c r="AA11" s="1">
        <v>12</v>
      </c>
      <c r="AB11" s="18">
        <v>33</v>
      </c>
      <c r="AC11" s="18">
        <f t="shared" si="0"/>
        <v>32.762999999999998</v>
      </c>
      <c r="AD11" s="19">
        <f t="shared" si="1"/>
        <v>-1.8230769230769377E-2</v>
      </c>
      <c r="AE11" s="20">
        <v>37</v>
      </c>
      <c r="AF11" s="20">
        <f t="shared" si="2"/>
        <v>38.245999999999995</v>
      </c>
      <c r="AG11" s="21">
        <f t="shared" si="6"/>
        <v>7.7874999999999694E-2</v>
      </c>
      <c r="AH11" s="22">
        <v>84</v>
      </c>
      <c r="AI11" s="22">
        <f t="shared" si="3"/>
        <v>94.638000000000005</v>
      </c>
      <c r="AJ11" s="23">
        <f t="shared" si="7"/>
        <v>0.24177272727272739</v>
      </c>
      <c r="AK11" s="24">
        <v>91</v>
      </c>
      <c r="AL11" s="24">
        <f t="shared" si="4"/>
        <v>76.509999999999991</v>
      </c>
      <c r="AM11" s="26">
        <f t="shared" si="8"/>
        <v>-0.80500000000000049</v>
      </c>
      <c r="AN11" s="28">
        <v>101</v>
      </c>
      <c r="AO11" s="28">
        <f t="shared" si="5"/>
        <v>99.626000000000005</v>
      </c>
      <c r="AP11" s="30">
        <f t="shared" si="9"/>
        <v>-6.8699999999999761E-2</v>
      </c>
      <c r="AQ11" s="3">
        <f t="shared" si="10"/>
        <v>-0.57228304195804247</v>
      </c>
      <c r="AR11" s="1" t="str">
        <f t="shared" si="11"/>
        <v>NO EHM</v>
      </c>
      <c r="AS11" s="34" t="str">
        <f t="shared" si="12"/>
        <v>NO</v>
      </c>
    </row>
    <row r="12" spans="1:45" x14ac:dyDescent="0.45">
      <c r="A12" s="10">
        <v>11</v>
      </c>
      <c r="B12" s="1">
        <v>2019</v>
      </c>
      <c r="C12" s="1" t="s">
        <v>13</v>
      </c>
      <c r="D12" s="1" t="s">
        <v>5</v>
      </c>
      <c r="E12" s="1">
        <v>49</v>
      </c>
      <c r="F12" s="1" t="s">
        <v>2</v>
      </c>
      <c r="G12" s="1">
        <v>14</v>
      </c>
      <c r="H12" s="1" t="s">
        <v>105</v>
      </c>
      <c r="I12" s="33" t="s">
        <v>105</v>
      </c>
      <c r="J12" s="33" t="s">
        <v>113</v>
      </c>
      <c r="K12" s="33" t="s">
        <v>10</v>
      </c>
      <c r="L12" s="33" t="s">
        <v>105</v>
      </c>
      <c r="M12" s="33" t="s">
        <v>105</v>
      </c>
      <c r="N12" s="33" t="s">
        <v>105</v>
      </c>
      <c r="O12" s="33" t="s">
        <v>105</v>
      </c>
      <c r="P12" s="1">
        <v>1</v>
      </c>
      <c r="Q12" s="1">
        <v>16</v>
      </c>
      <c r="R12" s="1">
        <v>0.9</v>
      </c>
      <c r="S12" s="1">
        <v>4.43</v>
      </c>
      <c r="T12" s="1">
        <v>0.56000000000000005</v>
      </c>
      <c r="U12" s="1">
        <v>0.56000000000000005</v>
      </c>
      <c r="V12" s="1">
        <v>0</v>
      </c>
      <c r="W12" s="1">
        <v>0</v>
      </c>
      <c r="X12" s="1">
        <v>139</v>
      </c>
      <c r="Y12" s="1">
        <v>5</v>
      </c>
      <c r="Z12" s="1">
        <v>6</v>
      </c>
      <c r="AA12" s="1">
        <v>7</v>
      </c>
      <c r="AB12" s="18">
        <v>44</v>
      </c>
      <c r="AC12" s="18">
        <f t="shared" si="0"/>
        <v>39.695999999999998</v>
      </c>
      <c r="AD12" s="19">
        <f t="shared" si="1"/>
        <v>-0.33107692307692321</v>
      </c>
      <c r="AE12" s="20">
        <v>41</v>
      </c>
      <c r="AF12" s="20">
        <f t="shared" si="2"/>
        <v>30.566999999999997</v>
      </c>
      <c r="AG12" s="21">
        <f t="shared" si="6"/>
        <v>-0.65206250000000021</v>
      </c>
      <c r="AH12" s="22">
        <v>75</v>
      </c>
      <c r="AI12" s="22">
        <f t="shared" si="3"/>
        <v>73.679999999999978</v>
      </c>
      <c r="AJ12" s="23">
        <f t="shared" si="7"/>
        <v>-3.0000000000000492E-2</v>
      </c>
      <c r="AK12" s="24">
        <v>109</v>
      </c>
      <c r="AL12" s="24">
        <f t="shared" si="4"/>
        <v>69.302999999999997</v>
      </c>
      <c r="AM12" s="26">
        <f t="shared" si="8"/>
        <v>-2.2053888888888888</v>
      </c>
      <c r="AN12" s="28">
        <v>138</v>
      </c>
      <c r="AO12" s="28">
        <f t="shared" si="5"/>
        <v>92.197000000000003</v>
      </c>
      <c r="AP12" s="30">
        <f t="shared" si="9"/>
        <v>-2.2901499999999997</v>
      </c>
      <c r="AQ12" s="3">
        <f t="shared" si="10"/>
        <v>-5.5086783119658129</v>
      </c>
      <c r="AR12" s="1" t="str">
        <f t="shared" si="11"/>
        <v>EHM</v>
      </c>
      <c r="AS12" s="34" t="str">
        <f t="shared" si="12"/>
        <v>SI</v>
      </c>
    </row>
    <row r="13" spans="1:45" x14ac:dyDescent="0.45">
      <c r="A13" s="10">
        <v>12</v>
      </c>
      <c r="B13" s="1">
        <v>2019</v>
      </c>
      <c r="C13" s="1" t="s">
        <v>0</v>
      </c>
      <c r="D13" s="1" t="s">
        <v>5</v>
      </c>
      <c r="E13" s="1">
        <v>41</v>
      </c>
      <c r="F13" s="1" t="s">
        <v>2</v>
      </c>
      <c r="G13" s="1">
        <v>12</v>
      </c>
      <c r="H13" s="1" t="s">
        <v>105</v>
      </c>
      <c r="I13" s="33" t="s">
        <v>105</v>
      </c>
      <c r="J13" s="33" t="s">
        <v>105</v>
      </c>
      <c r="K13" s="33" t="s">
        <v>105</v>
      </c>
      <c r="L13" s="33" t="s">
        <v>105</v>
      </c>
      <c r="M13" s="33" t="s">
        <v>105</v>
      </c>
      <c r="N13" s="33" t="s">
        <v>105</v>
      </c>
      <c r="O13" s="33" t="s">
        <v>105</v>
      </c>
      <c r="P13" s="1">
        <v>0</v>
      </c>
      <c r="Q13" s="1">
        <v>11</v>
      </c>
      <c r="R13" s="1">
        <v>1</v>
      </c>
      <c r="S13" s="1">
        <v>4.68</v>
      </c>
      <c r="T13" s="1">
        <v>0.77</v>
      </c>
      <c r="U13" s="1">
        <v>1.01</v>
      </c>
      <c r="V13" s="1">
        <v>0</v>
      </c>
      <c r="W13" s="1">
        <v>0</v>
      </c>
      <c r="X13" s="1">
        <v>142</v>
      </c>
      <c r="Y13" s="1">
        <v>5</v>
      </c>
      <c r="Z13" s="1">
        <v>6</v>
      </c>
      <c r="AA13" s="1">
        <v>6</v>
      </c>
      <c r="AB13" s="18">
        <v>29</v>
      </c>
      <c r="AC13" s="18">
        <f t="shared" si="0"/>
        <v>36.400999999999996</v>
      </c>
      <c r="AD13" s="19">
        <f t="shared" si="1"/>
        <v>0.56930769230769207</v>
      </c>
      <c r="AE13" s="20">
        <v>37</v>
      </c>
      <c r="AF13" s="20">
        <f t="shared" si="2"/>
        <v>36.186999999999998</v>
      </c>
      <c r="AG13" s="21">
        <f t="shared" si="6"/>
        <v>-5.0812500000000149E-2</v>
      </c>
      <c r="AH13" s="22">
        <v>141</v>
      </c>
      <c r="AI13" s="22">
        <f t="shared" si="3"/>
        <v>90.084000000000003</v>
      </c>
      <c r="AJ13" s="23">
        <f t="shared" si="7"/>
        <v>-1.1571818181818181</v>
      </c>
      <c r="AK13" s="24">
        <v>82</v>
      </c>
      <c r="AL13" s="24">
        <f t="shared" si="4"/>
        <v>71.501000000000005</v>
      </c>
      <c r="AM13" s="26">
        <f t="shared" si="8"/>
        <v>-0.58327777777777756</v>
      </c>
      <c r="AN13" s="28">
        <v>76</v>
      </c>
      <c r="AO13" s="28">
        <f t="shared" si="5"/>
        <v>93.467000000000013</v>
      </c>
      <c r="AP13" s="30">
        <f t="shared" si="9"/>
        <v>0.87335000000000063</v>
      </c>
      <c r="AQ13" s="3">
        <f t="shared" si="10"/>
        <v>-0.3486144036519031</v>
      </c>
      <c r="AR13" s="1" t="str">
        <f t="shared" si="11"/>
        <v>NO EHM</v>
      </c>
      <c r="AS13" s="34" t="str">
        <f t="shared" si="12"/>
        <v>NO</v>
      </c>
    </row>
    <row r="14" spans="1:45" x14ac:dyDescent="0.45">
      <c r="A14" s="10">
        <v>13</v>
      </c>
      <c r="B14" s="1">
        <v>2019</v>
      </c>
      <c r="C14" s="1" t="s">
        <v>129</v>
      </c>
      <c r="D14" s="1" t="s">
        <v>5</v>
      </c>
      <c r="E14" s="1">
        <v>39</v>
      </c>
      <c r="F14" s="1" t="s">
        <v>2</v>
      </c>
      <c r="G14" s="1">
        <v>1</v>
      </c>
      <c r="H14" s="1" t="s">
        <v>14</v>
      </c>
      <c r="I14" s="33" t="s">
        <v>105</v>
      </c>
      <c r="J14" s="33" t="s">
        <v>111</v>
      </c>
      <c r="K14" s="33" t="s">
        <v>114</v>
      </c>
      <c r="L14" s="33" t="s">
        <v>10</v>
      </c>
      <c r="M14" s="33" t="s">
        <v>113</v>
      </c>
      <c r="N14" s="33" t="s">
        <v>105</v>
      </c>
      <c r="O14" s="33" t="s">
        <v>105</v>
      </c>
      <c r="P14" s="1">
        <v>1</v>
      </c>
      <c r="Q14" s="1">
        <v>14</v>
      </c>
      <c r="R14" s="1">
        <v>1</v>
      </c>
      <c r="S14" s="1">
        <v>2.62</v>
      </c>
      <c r="T14" s="1">
        <v>0.76</v>
      </c>
      <c r="U14" s="1">
        <v>1.75</v>
      </c>
      <c r="V14" s="1">
        <v>0</v>
      </c>
      <c r="W14" s="1">
        <v>0</v>
      </c>
      <c r="X14" s="1">
        <v>138</v>
      </c>
      <c r="Y14" s="1">
        <v>7</v>
      </c>
      <c r="Z14" s="1">
        <v>9</v>
      </c>
      <c r="AA14" s="1">
        <v>10</v>
      </c>
      <c r="AB14" s="18">
        <v>40</v>
      </c>
      <c r="AC14" s="18">
        <f t="shared" si="0"/>
        <v>41.233999999999995</v>
      </c>
      <c r="AD14" s="19">
        <f t="shared" si="1"/>
        <v>9.4923076923076513E-2</v>
      </c>
      <c r="AE14" s="20">
        <v>42</v>
      </c>
      <c r="AF14" s="20">
        <f t="shared" si="2"/>
        <v>30.332999999999998</v>
      </c>
      <c r="AG14" s="21">
        <f t="shared" si="6"/>
        <v>-0.7291875000000001</v>
      </c>
      <c r="AH14" s="22">
        <v>77</v>
      </c>
      <c r="AI14" s="22">
        <f t="shared" si="3"/>
        <v>73.835999999999984</v>
      </c>
      <c r="AJ14" s="23">
        <f t="shared" si="7"/>
        <v>-7.1909090909091269E-2</v>
      </c>
      <c r="AK14" s="24">
        <v>77</v>
      </c>
      <c r="AL14" s="24">
        <f t="shared" si="4"/>
        <v>66.788999999999987</v>
      </c>
      <c r="AM14" s="26">
        <f t="shared" si="8"/>
        <v>-0.56727777777777844</v>
      </c>
      <c r="AN14" s="28">
        <v>116</v>
      </c>
      <c r="AO14" s="28">
        <f t="shared" si="5"/>
        <v>88.863</v>
      </c>
      <c r="AP14" s="30">
        <f t="shared" si="9"/>
        <v>-1.3568500000000001</v>
      </c>
      <c r="AQ14" s="3">
        <f t="shared" si="10"/>
        <v>-2.6303012917637933</v>
      </c>
      <c r="AR14" s="1" t="str">
        <f t="shared" si="11"/>
        <v>NO EHM</v>
      </c>
      <c r="AS14" s="34" t="str">
        <f t="shared" si="12"/>
        <v>SI</v>
      </c>
    </row>
    <row r="15" spans="1:45" x14ac:dyDescent="0.45">
      <c r="A15" s="10">
        <v>14</v>
      </c>
      <c r="B15" s="1">
        <v>2019</v>
      </c>
      <c r="C15" s="1" t="s">
        <v>4</v>
      </c>
      <c r="D15" s="1" t="s">
        <v>5</v>
      </c>
      <c r="E15" s="1">
        <v>50</v>
      </c>
      <c r="F15" s="1" t="s">
        <v>2</v>
      </c>
      <c r="G15" s="1">
        <v>24</v>
      </c>
      <c r="H15" s="1" t="s">
        <v>105</v>
      </c>
      <c r="I15" s="33" t="s">
        <v>105</v>
      </c>
      <c r="J15" s="4" t="s">
        <v>34</v>
      </c>
      <c r="K15" s="33" t="s">
        <v>105</v>
      </c>
      <c r="L15" s="33" t="s">
        <v>105</v>
      </c>
      <c r="M15" s="33" t="s">
        <v>105</v>
      </c>
      <c r="N15" s="33" t="s">
        <v>105</v>
      </c>
      <c r="O15" s="33" t="s">
        <v>105</v>
      </c>
      <c r="P15" s="1">
        <v>2</v>
      </c>
      <c r="Q15" s="1">
        <v>11</v>
      </c>
      <c r="R15" s="1">
        <v>1.55</v>
      </c>
      <c r="S15" s="1">
        <v>3.36</v>
      </c>
      <c r="T15" s="1">
        <v>0.82</v>
      </c>
      <c r="U15" s="1">
        <v>3.01</v>
      </c>
      <c r="V15" s="1">
        <v>0</v>
      </c>
      <c r="W15" s="1">
        <v>0</v>
      </c>
      <c r="X15" s="1">
        <v>140</v>
      </c>
      <c r="Y15" s="1">
        <v>8</v>
      </c>
      <c r="Z15" s="1">
        <v>16</v>
      </c>
      <c r="AA15" s="1">
        <v>16</v>
      </c>
      <c r="AB15" s="18">
        <v>18</v>
      </c>
      <c r="AC15" s="18">
        <f t="shared" si="0"/>
        <v>32.620999999999995</v>
      </c>
      <c r="AD15" s="19">
        <f t="shared" si="1"/>
        <v>1.1246923076923072</v>
      </c>
      <c r="AE15" s="20">
        <v>129</v>
      </c>
      <c r="AF15" s="20">
        <f t="shared" si="2"/>
        <v>39.471999999999994</v>
      </c>
      <c r="AG15" s="21">
        <f t="shared" si="6"/>
        <v>-5.5955000000000004</v>
      </c>
      <c r="AH15" s="22">
        <v>210</v>
      </c>
      <c r="AI15" s="22">
        <f t="shared" si="3"/>
        <v>98.561999999999983</v>
      </c>
      <c r="AJ15" s="23">
        <f t="shared" si="7"/>
        <v>-2.5326818181818185</v>
      </c>
      <c r="AK15" s="24">
        <v>89</v>
      </c>
      <c r="AL15" s="24">
        <f t="shared" si="4"/>
        <v>75.992000000000004</v>
      </c>
      <c r="AM15" s="26">
        <f t="shared" si="8"/>
        <v>-0.72266666666666646</v>
      </c>
      <c r="AN15" s="28">
        <v>111</v>
      </c>
      <c r="AO15" s="28">
        <f t="shared" si="5"/>
        <v>98.552000000000007</v>
      </c>
      <c r="AP15" s="30">
        <f t="shared" si="9"/>
        <v>-0.62239999999999962</v>
      </c>
      <c r="AQ15" s="3">
        <f t="shared" si="10"/>
        <v>-8.3485561771561763</v>
      </c>
      <c r="AR15" s="1" t="str">
        <f t="shared" si="11"/>
        <v>EHM</v>
      </c>
      <c r="AS15" s="34" t="str">
        <f t="shared" si="12"/>
        <v>SI</v>
      </c>
    </row>
    <row r="16" spans="1:45" x14ac:dyDescent="0.45">
      <c r="A16" s="10">
        <v>15</v>
      </c>
      <c r="B16" s="1">
        <v>2019</v>
      </c>
      <c r="C16" s="1" t="s">
        <v>15</v>
      </c>
      <c r="D16" s="1" t="s">
        <v>1</v>
      </c>
      <c r="E16" s="1">
        <v>56</v>
      </c>
      <c r="F16" s="1" t="s">
        <v>2</v>
      </c>
      <c r="G16" s="1">
        <v>12</v>
      </c>
      <c r="H16" s="1" t="s">
        <v>105</v>
      </c>
      <c r="I16" s="33" t="s">
        <v>105</v>
      </c>
      <c r="J16" s="33" t="s">
        <v>114</v>
      </c>
      <c r="K16" s="33" t="s">
        <v>111</v>
      </c>
      <c r="L16" s="33" t="s">
        <v>113</v>
      </c>
      <c r="M16" s="33" t="s">
        <v>10</v>
      </c>
      <c r="N16" s="33" t="s">
        <v>105</v>
      </c>
      <c r="O16" s="33" t="s">
        <v>105</v>
      </c>
      <c r="P16" s="1">
        <v>2</v>
      </c>
      <c r="Q16" s="1">
        <v>14</v>
      </c>
      <c r="R16" s="1">
        <v>1.5</v>
      </c>
      <c r="S16" s="1">
        <v>3.69</v>
      </c>
      <c r="T16" s="1">
        <v>0.95</v>
      </c>
      <c r="U16" s="1">
        <v>1.77</v>
      </c>
      <c r="V16" s="1">
        <v>0</v>
      </c>
      <c r="W16" s="1">
        <v>2</v>
      </c>
      <c r="X16" s="1">
        <v>141</v>
      </c>
      <c r="Y16" s="1">
        <v>6</v>
      </c>
      <c r="Z16" s="1">
        <v>13</v>
      </c>
      <c r="AA16" s="1">
        <v>13</v>
      </c>
      <c r="AB16" s="18">
        <v>21</v>
      </c>
      <c r="AC16" s="18">
        <f t="shared" si="0"/>
        <v>34.093999999999994</v>
      </c>
      <c r="AD16" s="19">
        <f t="shared" si="1"/>
        <v>1.0072307692307687</v>
      </c>
      <c r="AE16" s="20">
        <v>114</v>
      </c>
      <c r="AF16" s="20">
        <f t="shared" si="2"/>
        <v>36.537999999999997</v>
      </c>
      <c r="AG16" s="21">
        <f t="shared" si="6"/>
        <v>-4.8413750000000002</v>
      </c>
      <c r="AH16" s="22">
        <v>155</v>
      </c>
      <c r="AI16" s="22">
        <f t="shared" si="3"/>
        <v>89.85</v>
      </c>
      <c r="AJ16" s="23">
        <f t="shared" si="7"/>
        <v>-1.4806818181818182</v>
      </c>
      <c r="AK16" s="24">
        <v>131</v>
      </c>
      <c r="AL16" s="24">
        <f t="shared" si="4"/>
        <v>75.271999999999991</v>
      </c>
      <c r="AM16" s="26">
        <f t="shared" si="8"/>
        <v>-3.0960000000000005</v>
      </c>
      <c r="AN16" s="28">
        <v>204</v>
      </c>
      <c r="AO16" s="28">
        <f t="shared" si="5"/>
        <v>98.468000000000004</v>
      </c>
      <c r="AP16" s="30">
        <f t="shared" si="9"/>
        <v>-5.2766000000000002</v>
      </c>
      <c r="AQ16" s="3">
        <f t="shared" si="10"/>
        <v>-13.68742604895105</v>
      </c>
      <c r="AR16" s="1" t="str">
        <f t="shared" si="11"/>
        <v>EHM</v>
      </c>
      <c r="AS16" s="34" t="str">
        <f t="shared" si="12"/>
        <v>SI</v>
      </c>
    </row>
    <row r="17" spans="1:45" x14ac:dyDescent="0.45">
      <c r="A17" s="10">
        <v>16</v>
      </c>
      <c r="B17" s="1">
        <v>2019</v>
      </c>
      <c r="C17" s="33" t="s">
        <v>8</v>
      </c>
      <c r="D17" s="1" t="s">
        <v>5</v>
      </c>
      <c r="E17" s="1">
        <v>61</v>
      </c>
      <c r="F17" s="1" t="s">
        <v>2</v>
      </c>
      <c r="G17" s="1">
        <v>1</v>
      </c>
      <c r="H17" s="1" t="s">
        <v>105</v>
      </c>
      <c r="I17" s="33" t="s">
        <v>105</v>
      </c>
      <c r="J17" s="33" t="s">
        <v>10</v>
      </c>
      <c r="K17" s="33" t="s">
        <v>113</v>
      </c>
      <c r="L17" s="33" t="s">
        <v>105</v>
      </c>
      <c r="M17" s="33" t="s">
        <v>105</v>
      </c>
      <c r="N17" s="33" t="s">
        <v>105</v>
      </c>
      <c r="O17" s="33" t="s">
        <v>105</v>
      </c>
      <c r="P17" s="1">
        <v>0</v>
      </c>
      <c r="Q17" s="1">
        <v>13</v>
      </c>
      <c r="R17" s="1">
        <v>1.2</v>
      </c>
      <c r="S17" s="1">
        <v>4.16</v>
      </c>
      <c r="T17" s="1">
        <v>0.51</v>
      </c>
      <c r="U17" s="1">
        <v>0.85</v>
      </c>
      <c r="V17" s="1">
        <v>0</v>
      </c>
      <c r="W17" s="1">
        <v>0</v>
      </c>
      <c r="X17" s="1">
        <v>142</v>
      </c>
      <c r="Y17" s="1">
        <v>5</v>
      </c>
      <c r="Z17" s="1">
        <v>8</v>
      </c>
      <c r="AA17" s="1">
        <v>8</v>
      </c>
      <c r="AB17" s="18">
        <v>38</v>
      </c>
      <c r="AC17" s="18">
        <f t="shared" si="0"/>
        <v>30.663</v>
      </c>
      <c r="AD17" s="19">
        <f t="shared" si="1"/>
        <v>-0.56438461538461537</v>
      </c>
      <c r="AE17" s="20">
        <v>60</v>
      </c>
      <c r="AF17" s="20">
        <f t="shared" si="2"/>
        <v>40.070999999999998</v>
      </c>
      <c r="AG17" s="21">
        <f t="shared" si="6"/>
        <v>-1.2455625000000001</v>
      </c>
      <c r="AH17" s="22">
        <v>154</v>
      </c>
      <c r="AI17" s="22">
        <f t="shared" si="3"/>
        <v>99.347999999999985</v>
      </c>
      <c r="AJ17" s="23">
        <f t="shared" si="7"/>
        <v>-1.2420909090909094</v>
      </c>
      <c r="AK17" s="24">
        <v>98</v>
      </c>
      <c r="AL17" s="24">
        <f t="shared" si="4"/>
        <v>79.004999999999995</v>
      </c>
      <c r="AM17" s="26">
        <f t="shared" si="8"/>
        <v>-1.055277777777778</v>
      </c>
      <c r="AN17" s="28">
        <v>145</v>
      </c>
      <c r="AO17" s="28">
        <f t="shared" si="5"/>
        <v>102.45099999999999</v>
      </c>
      <c r="AP17" s="30">
        <f t="shared" si="9"/>
        <v>-2.1274500000000005</v>
      </c>
      <c r="AQ17" s="3">
        <f t="shared" si="10"/>
        <v>-6.2347658022533032</v>
      </c>
      <c r="AR17" s="1" t="str">
        <f t="shared" si="11"/>
        <v>EHM</v>
      </c>
      <c r="AS17" s="34" t="str">
        <f t="shared" si="12"/>
        <v>NO</v>
      </c>
    </row>
    <row r="18" spans="1:45" x14ac:dyDescent="0.45">
      <c r="A18" s="10">
        <v>17</v>
      </c>
      <c r="B18" s="1">
        <v>2019</v>
      </c>
      <c r="C18" s="1" t="s">
        <v>4</v>
      </c>
      <c r="D18" s="1" t="s">
        <v>5</v>
      </c>
      <c r="E18" s="1">
        <v>60</v>
      </c>
      <c r="F18" s="1" t="s">
        <v>2</v>
      </c>
      <c r="G18" s="1">
        <v>4</v>
      </c>
      <c r="H18" s="1" t="s">
        <v>16</v>
      </c>
      <c r="I18" s="33" t="s">
        <v>105</v>
      </c>
      <c r="J18" s="4" t="s">
        <v>17</v>
      </c>
      <c r="K18" s="33" t="s">
        <v>105</v>
      </c>
      <c r="L18" s="33" t="s">
        <v>105</v>
      </c>
      <c r="M18" s="33" t="s">
        <v>105</v>
      </c>
      <c r="N18" s="33" t="s">
        <v>105</v>
      </c>
      <c r="O18" s="33" t="s">
        <v>105</v>
      </c>
      <c r="P18" s="1">
        <v>0</v>
      </c>
      <c r="Q18" s="1">
        <v>11</v>
      </c>
      <c r="R18" s="1">
        <v>1</v>
      </c>
      <c r="S18" s="1">
        <v>4.25</v>
      </c>
      <c r="T18" s="1">
        <v>0.75</v>
      </c>
      <c r="U18" s="1">
        <v>1.21</v>
      </c>
      <c r="V18" s="1">
        <v>0</v>
      </c>
      <c r="W18" s="1">
        <v>0</v>
      </c>
      <c r="X18" s="1">
        <v>138</v>
      </c>
      <c r="Y18" s="1">
        <v>5</v>
      </c>
      <c r="Z18" s="1">
        <v>7</v>
      </c>
      <c r="AA18" s="1">
        <v>9</v>
      </c>
      <c r="AB18" s="18">
        <v>24</v>
      </c>
      <c r="AC18" s="18">
        <f t="shared" si="0"/>
        <v>28.420999999999999</v>
      </c>
      <c r="AD18" s="19">
        <f t="shared" si="1"/>
        <v>0.34007692307692305</v>
      </c>
      <c r="AE18" s="20">
        <v>50</v>
      </c>
      <c r="AF18" s="20">
        <f t="shared" si="2"/>
        <v>43.122</v>
      </c>
      <c r="AG18" s="21">
        <f t="shared" si="6"/>
        <v>-0.42987500000000001</v>
      </c>
      <c r="AH18" s="22">
        <v>85</v>
      </c>
      <c r="AI18" s="22">
        <f t="shared" si="3"/>
        <v>107.98199999999997</v>
      </c>
      <c r="AJ18" s="23">
        <f t="shared" si="7"/>
        <v>0.52231818181818113</v>
      </c>
      <c r="AK18" s="24">
        <v>63</v>
      </c>
      <c r="AL18" s="24">
        <f t="shared" si="4"/>
        <v>80.981999999999999</v>
      </c>
      <c r="AM18" s="26">
        <f t="shared" si="8"/>
        <v>0.999</v>
      </c>
      <c r="AN18" s="28">
        <v>104</v>
      </c>
      <c r="AO18" s="28">
        <f t="shared" si="5"/>
        <v>104.202</v>
      </c>
      <c r="AP18" s="30">
        <f t="shared" si="9"/>
        <v>1.0099999999999909E-2</v>
      </c>
      <c r="AQ18" s="3">
        <f t="shared" si="10"/>
        <v>1.4416201048951041</v>
      </c>
      <c r="AR18" s="1" t="str">
        <f t="shared" si="11"/>
        <v>NO EHM</v>
      </c>
      <c r="AS18" s="34" t="str">
        <f t="shared" si="12"/>
        <v>NO</v>
      </c>
    </row>
    <row r="19" spans="1:45" x14ac:dyDescent="0.45">
      <c r="A19" s="10">
        <v>18</v>
      </c>
      <c r="B19" s="1">
        <v>2019</v>
      </c>
      <c r="C19" s="1" t="s">
        <v>18</v>
      </c>
      <c r="D19" s="1" t="s">
        <v>1</v>
      </c>
      <c r="E19" s="1">
        <v>51</v>
      </c>
      <c r="F19" s="1" t="s">
        <v>19</v>
      </c>
      <c r="G19" s="1">
        <v>36</v>
      </c>
      <c r="H19" s="1" t="s">
        <v>105</v>
      </c>
      <c r="I19" s="33" t="s">
        <v>105</v>
      </c>
      <c r="J19" s="33" t="s">
        <v>105</v>
      </c>
      <c r="K19" s="33" t="s">
        <v>105</v>
      </c>
      <c r="L19" s="33" t="s">
        <v>105</v>
      </c>
      <c r="M19" s="33" t="s">
        <v>105</v>
      </c>
      <c r="N19" s="33" t="s">
        <v>105</v>
      </c>
      <c r="O19" s="33" t="s">
        <v>105</v>
      </c>
      <c r="P19" s="1">
        <v>3</v>
      </c>
      <c r="Q19" s="1">
        <v>19</v>
      </c>
      <c r="R19" s="1">
        <v>0.99</v>
      </c>
      <c r="S19" s="1">
        <v>3.84</v>
      </c>
      <c r="T19" s="1">
        <v>0.59</v>
      </c>
      <c r="U19" s="1">
        <v>3.16</v>
      </c>
      <c r="V19" s="1">
        <v>0</v>
      </c>
      <c r="W19" s="1">
        <v>0</v>
      </c>
      <c r="X19" s="1">
        <v>130</v>
      </c>
      <c r="Y19" s="1">
        <v>7</v>
      </c>
      <c r="Z19" s="1">
        <v>11</v>
      </c>
      <c r="AA19" s="1">
        <v>18</v>
      </c>
      <c r="AB19" s="18">
        <v>42</v>
      </c>
      <c r="AC19" s="18">
        <f t="shared" si="0"/>
        <v>42.848999999999997</v>
      </c>
      <c r="AD19" s="19">
        <f t="shared" si="1"/>
        <v>6.5307692307692053E-2</v>
      </c>
      <c r="AE19" s="20">
        <v>36</v>
      </c>
      <c r="AF19" s="20">
        <f t="shared" si="2"/>
        <v>26.173000000000002</v>
      </c>
      <c r="AG19" s="21">
        <f t="shared" si="6"/>
        <v>-0.61418749999999989</v>
      </c>
      <c r="AH19" s="22">
        <v>51</v>
      </c>
      <c r="AI19" s="22">
        <f t="shared" si="3"/>
        <v>61.199999999999989</v>
      </c>
      <c r="AJ19" s="23">
        <f t="shared" si="7"/>
        <v>0.23181818181818156</v>
      </c>
      <c r="AK19" s="24">
        <v>88</v>
      </c>
      <c r="AL19" s="24">
        <f t="shared" si="4"/>
        <v>66.586999999999989</v>
      </c>
      <c r="AM19" s="26">
        <f t="shared" si="8"/>
        <v>-1.1896111111111116</v>
      </c>
      <c r="AN19" s="28">
        <v>160</v>
      </c>
      <c r="AO19" s="28">
        <f t="shared" si="5"/>
        <v>89.853000000000009</v>
      </c>
      <c r="AP19" s="30">
        <f t="shared" si="9"/>
        <v>-3.5073499999999997</v>
      </c>
      <c r="AQ19" s="3">
        <f t="shared" si="10"/>
        <v>-5.0140227369852379</v>
      </c>
      <c r="AR19" s="1" t="str">
        <f t="shared" si="11"/>
        <v>EHM</v>
      </c>
      <c r="AS19" s="34" t="str">
        <f t="shared" si="12"/>
        <v>SI</v>
      </c>
    </row>
    <row r="20" spans="1:45" x14ac:dyDescent="0.45">
      <c r="A20" s="10">
        <v>19</v>
      </c>
      <c r="B20" s="1">
        <v>2019</v>
      </c>
      <c r="C20" s="1" t="s">
        <v>20</v>
      </c>
      <c r="D20" s="1" t="s">
        <v>5</v>
      </c>
      <c r="E20" s="1">
        <v>53</v>
      </c>
      <c r="F20" s="1" t="s">
        <v>2</v>
      </c>
      <c r="G20" s="1">
        <v>8</v>
      </c>
      <c r="H20" s="1" t="s">
        <v>105</v>
      </c>
      <c r="I20" s="33" t="s">
        <v>105</v>
      </c>
      <c r="J20" s="33" t="s">
        <v>105</v>
      </c>
      <c r="K20" s="33" t="s">
        <v>105</v>
      </c>
      <c r="L20" s="33" t="s">
        <v>105</v>
      </c>
      <c r="M20" s="33" t="s">
        <v>105</v>
      </c>
      <c r="N20" s="33" t="s">
        <v>105</v>
      </c>
      <c r="O20" s="33" t="s">
        <v>105</v>
      </c>
      <c r="P20" s="1">
        <v>1</v>
      </c>
      <c r="Q20" s="1">
        <v>16</v>
      </c>
      <c r="R20" s="1">
        <v>1.1499999999999999</v>
      </c>
      <c r="S20" s="1">
        <v>4.1900000000000004</v>
      </c>
      <c r="T20" s="1">
        <v>0.72</v>
      </c>
      <c r="U20" s="1">
        <v>0.98</v>
      </c>
      <c r="V20" s="1">
        <v>0</v>
      </c>
      <c r="W20" s="1">
        <v>0</v>
      </c>
      <c r="X20" s="1">
        <v>136</v>
      </c>
      <c r="Y20" s="1">
        <v>5</v>
      </c>
      <c r="Z20" s="1">
        <v>8</v>
      </c>
      <c r="AA20" s="1">
        <v>11</v>
      </c>
      <c r="AB20" s="18">
        <v>43</v>
      </c>
      <c r="AC20" s="18">
        <f t="shared" si="0"/>
        <v>38.015999999999998</v>
      </c>
      <c r="AD20" s="19">
        <f t="shared" si="1"/>
        <v>-0.38338461538461555</v>
      </c>
      <c r="AE20" s="20">
        <v>51</v>
      </c>
      <c r="AF20" s="20">
        <f t="shared" si="2"/>
        <v>32.027000000000001</v>
      </c>
      <c r="AG20" s="21">
        <f t="shared" si="6"/>
        <v>-1.1858124999999999</v>
      </c>
      <c r="AH20" s="22">
        <v>123</v>
      </c>
      <c r="AI20" s="22">
        <f t="shared" si="3"/>
        <v>77.447999999999979</v>
      </c>
      <c r="AJ20" s="23">
        <f t="shared" si="7"/>
        <v>-1.0352727272727278</v>
      </c>
      <c r="AK20" s="24">
        <v>58</v>
      </c>
      <c r="AL20" s="24">
        <f t="shared" si="4"/>
        <v>71.299000000000007</v>
      </c>
      <c r="AM20" s="26">
        <f t="shared" si="8"/>
        <v>0.73883333333333367</v>
      </c>
      <c r="AN20" s="28">
        <v>57</v>
      </c>
      <c r="AO20" s="28">
        <f t="shared" si="5"/>
        <v>94.456999999999994</v>
      </c>
      <c r="AP20" s="30">
        <f t="shared" si="9"/>
        <v>1.8728499999999997</v>
      </c>
      <c r="AQ20" s="3">
        <f t="shared" si="10"/>
        <v>7.2134906759899753E-3</v>
      </c>
      <c r="AR20" s="1" t="str">
        <f t="shared" si="11"/>
        <v>NO EHM</v>
      </c>
      <c r="AS20" s="34" t="str">
        <f t="shared" si="12"/>
        <v>SI</v>
      </c>
    </row>
    <row r="21" spans="1:45" x14ac:dyDescent="0.45">
      <c r="A21" s="10">
        <v>20</v>
      </c>
      <c r="B21" s="1">
        <v>2019</v>
      </c>
      <c r="C21" s="1" t="s">
        <v>4</v>
      </c>
      <c r="D21" s="1" t="s">
        <v>5</v>
      </c>
      <c r="E21" s="1">
        <v>63</v>
      </c>
      <c r="F21" s="1" t="s">
        <v>21</v>
      </c>
      <c r="G21" s="1">
        <v>8</v>
      </c>
      <c r="H21" s="1" t="s">
        <v>105</v>
      </c>
      <c r="I21" s="33" t="s">
        <v>105</v>
      </c>
      <c r="J21" s="33" t="s">
        <v>105</v>
      </c>
      <c r="K21" s="33" t="s">
        <v>105</v>
      </c>
      <c r="L21" s="33" t="s">
        <v>105</v>
      </c>
      <c r="M21" s="33" t="s">
        <v>105</v>
      </c>
      <c r="N21" s="33" t="s">
        <v>105</v>
      </c>
      <c r="O21" s="33" t="s">
        <v>105</v>
      </c>
      <c r="P21" s="1">
        <v>0</v>
      </c>
      <c r="Q21" s="1">
        <v>11</v>
      </c>
      <c r="R21" s="1">
        <v>1.5</v>
      </c>
      <c r="S21" s="1">
        <v>3.77</v>
      </c>
      <c r="T21" s="1">
        <v>0.56999999999999995</v>
      </c>
      <c r="U21" s="1">
        <v>1.19</v>
      </c>
      <c r="V21" s="1">
        <v>0</v>
      </c>
      <c r="W21" s="1">
        <v>0</v>
      </c>
      <c r="X21" s="1">
        <v>140</v>
      </c>
      <c r="Y21" s="1">
        <v>5</v>
      </c>
      <c r="Z21" s="1">
        <v>12</v>
      </c>
      <c r="AA21" s="1">
        <v>12</v>
      </c>
      <c r="AB21" s="18">
        <v>26</v>
      </c>
      <c r="AC21" s="18">
        <f t="shared" si="0"/>
        <v>27.161000000000001</v>
      </c>
      <c r="AD21" s="19">
        <f t="shared" si="1"/>
        <v>8.9307692307692407E-2</v>
      </c>
      <c r="AE21" s="20">
        <v>54</v>
      </c>
      <c r="AF21" s="20">
        <f t="shared" si="2"/>
        <v>44.216999999999999</v>
      </c>
      <c r="AG21" s="21">
        <f t="shared" si="6"/>
        <v>-0.61143750000000008</v>
      </c>
      <c r="AH21" s="22">
        <v>132</v>
      </c>
      <c r="AI21" s="22">
        <f t="shared" si="3"/>
        <v>110.80799999999999</v>
      </c>
      <c r="AJ21" s="23">
        <f t="shared" si="7"/>
        <v>-0.48163636363636381</v>
      </c>
      <c r="AK21" s="24">
        <v>107</v>
      </c>
      <c r="AL21" s="24">
        <f t="shared" si="4"/>
        <v>82.478999999999999</v>
      </c>
      <c r="AM21" s="26">
        <f t="shared" si="8"/>
        <v>-1.3622777777777779</v>
      </c>
      <c r="AN21" s="28">
        <v>144</v>
      </c>
      <c r="AO21" s="28">
        <f t="shared" si="5"/>
        <v>105.89700000000001</v>
      </c>
      <c r="AP21" s="30">
        <f t="shared" si="9"/>
        <v>-1.9051499999999997</v>
      </c>
      <c r="AQ21" s="3">
        <f t="shared" si="10"/>
        <v>-4.2711939491064488</v>
      </c>
      <c r="AR21" s="1" t="str">
        <f t="shared" si="11"/>
        <v>NO EHM</v>
      </c>
      <c r="AS21" s="34" t="str">
        <f t="shared" si="12"/>
        <v>NO</v>
      </c>
    </row>
    <row r="22" spans="1:45" x14ac:dyDescent="0.45">
      <c r="A22" s="10">
        <v>21</v>
      </c>
      <c r="B22" s="1">
        <v>2019</v>
      </c>
      <c r="C22" s="1" t="s">
        <v>4</v>
      </c>
      <c r="D22" s="1" t="s">
        <v>5</v>
      </c>
      <c r="E22" s="1">
        <v>60</v>
      </c>
      <c r="F22" s="1" t="s">
        <v>2</v>
      </c>
      <c r="G22" s="1">
        <v>27</v>
      </c>
      <c r="H22" s="33" t="s">
        <v>3</v>
      </c>
      <c r="I22" s="33" t="s">
        <v>47</v>
      </c>
      <c r="J22" s="33" t="s">
        <v>111</v>
      </c>
      <c r="K22" s="33" t="s">
        <v>115</v>
      </c>
      <c r="L22" s="33" t="s">
        <v>112</v>
      </c>
      <c r="M22" s="33" t="s">
        <v>105</v>
      </c>
      <c r="N22" s="33" t="s">
        <v>105</v>
      </c>
      <c r="O22" s="33" t="s">
        <v>105</v>
      </c>
      <c r="P22" s="1">
        <v>1</v>
      </c>
      <c r="Q22" s="1">
        <v>13</v>
      </c>
      <c r="R22" s="1">
        <v>0.9</v>
      </c>
      <c r="S22" s="1">
        <v>3.8</v>
      </c>
      <c r="T22" s="1">
        <v>0.95</v>
      </c>
      <c r="U22" s="1">
        <v>0.79</v>
      </c>
      <c r="V22" s="1">
        <v>0</v>
      </c>
      <c r="W22" s="1">
        <v>0</v>
      </c>
      <c r="X22" s="1">
        <v>139</v>
      </c>
      <c r="Y22" s="1">
        <v>5</v>
      </c>
      <c r="Z22" s="1">
        <v>6</v>
      </c>
      <c r="AA22" s="1">
        <v>7</v>
      </c>
      <c r="AB22" s="18">
        <v>22</v>
      </c>
      <c r="AC22" s="18">
        <f t="shared" si="0"/>
        <v>31.082999999999998</v>
      </c>
      <c r="AD22" s="19">
        <f t="shared" si="1"/>
        <v>0.69869230769230761</v>
      </c>
      <c r="AE22" s="20">
        <v>59</v>
      </c>
      <c r="AF22" s="20">
        <f t="shared" si="2"/>
        <v>39.705999999999996</v>
      </c>
      <c r="AG22" s="21">
        <f t="shared" si="6"/>
        <v>-1.2058750000000003</v>
      </c>
      <c r="AH22" s="22">
        <v>141</v>
      </c>
      <c r="AI22" s="22">
        <f t="shared" si="3"/>
        <v>98.405999999999977</v>
      </c>
      <c r="AJ22" s="23">
        <f t="shared" si="7"/>
        <v>-0.9680454545454551</v>
      </c>
      <c r="AK22" s="24">
        <v>94</v>
      </c>
      <c r="AL22" s="24">
        <f t="shared" si="4"/>
        <v>78.506</v>
      </c>
      <c r="AM22" s="26">
        <f t="shared" si="8"/>
        <v>-0.86077777777777775</v>
      </c>
      <c r="AN22" s="28">
        <v>78</v>
      </c>
      <c r="AO22" s="28">
        <f t="shared" si="5"/>
        <v>101.886</v>
      </c>
      <c r="AP22" s="30">
        <f t="shared" si="9"/>
        <v>1.1942999999999997</v>
      </c>
      <c r="AQ22" s="3">
        <f t="shared" si="10"/>
        <v>-1.141705924630926</v>
      </c>
      <c r="AR22" s="1" t="str">
        <f t="shared" si="11"/>
        <v>NO EHM</v>
      </c>
      <c r="AS22" s="34" t="str">
        <f t="shared" si="12"/>
        <v>SI</v>
      </c>
    </row>
    <row r="23" spans="1:45" x14ac:dyDescent="0.45">
      <c r="A23" s="10">
        <v>22</v>
      </c>
      <c r="B23" s="1">
        <v>2019</v>
      </c>
      <c r="C23" s="1" t="s">
        <v>22</v>
      </c>
      <c r="D23" s="1" t="s">
        <v>1</v>
      </c>
      <c r="E23" s="1">
        <v>59</v>
      </c>
      <c r="F23" s="1" t="s">
        <v>21</v>
      </c>
      <c r="G23" s="1">
        <v>2</v>
      </c>
      <c r="H23" s="1" t="s">
        <v>105</v>
      </c>
      <c r="I23" s="33" t="s">
        <v>105</v>
      </c>
      <c r="J23" s="33" t="s">
        <v>105</v>
      </c>
      <c r="K23" s="33" t="s">
        <v>105</v>
      </c>
      <c r="L23" s="33" t="s">
        <v>105</v>
      </c>
      <c r="M23" s="33" t="s">
        <v>105</v>
      </c>
      <c r="N23" s="33" t="s">
        <v>105</v>
      </c>
      <c r="O23" s="33" t="s">
        <v>105</v>
      </c>
      <c r="P23" s="1">
        <v>0</v>
      </c>
      <c r="Q23" s="1">
        <v>12</v>
      </c>
      <c r="R23" s="1">
        <v>1</v>
      </c>
      <c r="S23" s="1">
        <v>3.8</v>
      </c>
      <c r="T23" s="1">
        <v>1.04</v>
      </c>
      <c r="U23" s="1">
        <v>1.03</v>
      </c>
      <c r="V23" s="1">
        <v>0</v>
      </c>
      <c r="W23" s="1">
        <v>0</v>
      </c>
      <c r="X23" s="1">
        <v>140</v>
      </c>
      <c r="Y23" s="1">
        <v>5</v>
      </c>
      <c r="Z23" s="1">
        <v>7</v>
      </c>
      <c r="AA23" s="1">
        <v>7</v>
      </c>
      <c r="AB23" s="18">
        <v>19</v>
      </c>
      <c r="AC23" s="18">
        <f t="shared" si="0"/>
        <v>30.171999999999997</v>
      </c>
      <c r="AD23" s="19">
        <f t="shared" si="1"/>
        <v>0.85938461538461519</v>
      </c>
      <c r="AE23" s="20">
        <v>97</v>
      </c>
      <c r="AF23" s="20">
        <f t="shared" si="2"/>
        <v>41.049000000000007</v>
      </c>
      <c r="AG23" s="21">
        <f t="shared" si="6"/>
        <v>-3.4969374999999996</v>
      </c>
      <c r="AH23" s="22">
        <v>108</v>
      </c>
      <c r="AI23" s="22">
        <f t="shared" si="3"/>
        <v>102.252</v>
      </c>
      <c r="AJ23" s="23">
        <f t="shared" si="7"/>
        <v>-0.13063636363636374</v>
      </c>
      <c r="AK23" s="24">
        <v>140</v>
      </c>
      <c r="AL23" s="24">
        <f t="shared" si="4"/>
        <v>79.245000000000005</v>
      </c>
      <c r="AM23" s="26">
        <f t="shared" si="8"/>
        <v>-3.3752777777777774</v>
      </c>
      <c r="AN23" s="28">
        <v>146</v>
      </c>
      <c r="AO23" s="28">
        <f t="shared" si="5"/>
        <v>102.479</v>
      </c>
      <c r="AP23" s="30">
        <f t="shared" si="9"/>
        <v>-2.17605</v>
      </c>
      <c r="AQ23" s="3">
        <f t="shared" si="10"/>
        <v>-8.3195170260295264</v>
      </c>
      <c r="AR23" s="1" t="str">
        <f t="shared" si="11"/>
        <v>EHM</v>
      </c>
      <c r="AS23" s="34" t="str">
        <f t="shared" si="12"/>
        <v>NO</v>
      </c>
    </row>
    <row r="24" spans="1:45" x14ac:dyDescent="0.45">
      <c r="A24" s="10">
        <v>23</v>
      </c>
      <c r="B24" s="1">
        <v>2019</v>
      </c>
      <c r="C24" s="1" t="s">
        <v>23</v>
      </c>
      <c r="D24" s="1" t="s">
        <v>1</v>
      </c>
      <c r="E24" s="1">
        <v>65</v>
      </c>
      <c r="F24" s="1" t="s">
        <v>2</v>
      </c>
      <c r="G24" s="1">
        <v>6</v>
      </c>
      <c r="H24" s="1" t="s">
        <v>105</v>
      </c>
      <c r="I24" s="33" t="s">
        <v>105</v>
      </c>
      <c r="J24" s="33" t="s">
        <v>105</v>
      </c>
      <c r="K24" s="33" t="s">
        <v>105</v>
      </c>
      <c r="L24" s="33" t="s">
        <v>105</v>
      </c>
      <c r="M24" s="33" t="s">
        <v>105</v>
      </c>
      <c r="N24" s="33" t="s">
        <v>105</v>
      </c>
      <c r="O24" s="33" t="s">
        <v>105</v>
      </c>
      <c r="P24" s="1">
        <v>3</v>
      </c>
      <c r="Q24" s="1">
        <v>13</v>
      </c>
      <c r="R24" s="1">
        <v>1.1000000000000001</v>
      </c>
      <c r="S24" s="1">
        <v>3.81</v>
      </c>
      <c r="T24" s="1">
        <v>0.67</v>
      </c>
      <c r="U24" s="1">
        <v>0.78</v>
      </c>
      <c r="V24" s="1">
        <v>0</v>
      </c>
      <c r="W24" s="1">
        <v>0</v>
      </c>
      <c r="X24" s="1">
        <v>143</v>
      </c>
      <c r="Y24" s="1">
        <v>5</v>
      </c>
      <c r="Z24" s="1">
        <v>7</v>
      </c>
      <c r="AA24" s="1">
        <v>7</v>
      </c>
      <c r="AB24" s="18">
        <v>27</v>
      </c>
      <c r="AC24" s="18">
        <f t="shared" si="0"/>
        <v>28.982999999999997</v>
      </c>
      <c r="AD24" s="19">
        <f t="shared" si="1"/>
        <v>0.15253846153846132</v>
      </c>
      <c r="AE24" s="20">
        <v>56</v>
      </c>
      <c r="AF24" s="20">
        <f t="shared" si="2"/>
        <v>41.530999999999999</v>
      </c>
      <c r="AG24" s="21">
        <f t="shared" si="6"/>
        <v>-0.90431250000000007</v>
      </c>
      <c r="AH24" s="22">
        <v>156</v>
      </c>
      <c r="AI24" s="22">
        <f t="shared" si="3"/>
        <v>103.11599999999999</v>
      </c>
      <c r="AJ24" s="23">
        <f t="shared" si="7"/>
        <v>-1.2019090909090913</v>
      </c>
      <c r="AK24" s="24">
        <v>107</v>
      </c>
      <c r="AL24" s="24">
        <f t="shared" si="4"/>
        <v>81.001000000000005</v>
      </c>
      <c r="AM24" s="26">
        <f t="shared" si="8"/>
        <v>-1.4443888888888887</v>
      </c>
      <c r="AN24" s="28">
        <v>91</v>
      </c>
      <c r="AO24" s="28">
        <f t="shared" si="5"/>
        <v>104.711</v>
      </c>
      <c r="AP24" s="30">
        <f t="shared" si="9"/>
        <v>0.68554999999999988</v>
      </c>
      <c r="AQ24" s="3">
        <f t="shared" si="10"/>
        <v>-2.7125220182595191</v>
      </c>
      <c r="AR24" s="1" t="str">
        <f t="shared" si="11"/>
        <v>NO EHM</v>
      </c>
      <c r="AS24" s="34" t="str">
        <f t="shared" si="12"/>
        <v>SI</v>
      </c>
    </row>
    <row r="25" spans="1:45" x14ac:dyDescent="0.45">
      <c r="A25" s="10">
        <v>24</v>
      </c>
      <c r="B25" s="1">
        <v>2019</v>
      </c>
      <c r="C25" s="1" t="s">
        <v>4</v>
      </c>
      <c r="D25" s="1" t="s">
        <v>1</v>
      </c>
      <c r="E25" s="1">
        <v>62</v>
      </c>
      <c r="F25" s="1" t="s">
        <v>11</v>
      </c>
      <c r="G25" s="1">
        <v>1</v>
      </c>
      <c r="H25" s="1" t="s">
        <v>105</v>
      </c>
      <c r="I25" s="33" t="s">
        <v>105</v>
      </c>
      <c r="J25" s="4" t="s">
        <v>24</v>
      </c>
      <c r="K25" s="33" t="s">
        <v>105</v>
      </c>
      <c r="L25" s="33" t="s">
        <v>105</v>
      </c>
      <c r="M25" s="33" t="s">
        <v>105</v>
      </c>
      <c r="N25" s="33" t="s">
        <v>105</v>
      </c>
      <c r="O25" s="33" t="s">
        <v>105</v>
      </c>
      <c r="P25" s="1">
        <v>0</v>
      </c>
      <c r="Q25" s="1">
        <v>16</v>
      </c>
      <c r="R25" s="1">
        <v>1.3</v>
      </c>
      <c r="S25" s="1">
        <v>3.85</v>
      </c>
      <c r="T25" s="1">
        <v>0.85</v>
      </c>
      <c r="U25" s="1">
        <v>0.73</v>
      </c>
      <c r="V25" s="1">
        <v>0</v>
      </c>
      <c r="W25" s="1">
        <v>0</v>
      </c>
      <c r="X25" s="1">
        <v>138</v>
      </c>
      <c r="Y25" s="1">
        <v>5</v>
      </c>
      <c r="Z25" s="1">
        <v>9</v>
      </c>
      <c r="AA25" s="1">
        <v>11</v>
      </c>
      <c r="AB25" s="18">
        <v>41</v>
      </c>
      <c r="AC25" s="18">
        <f t="shared" si="0"/>
        <v>34.235999999999997</v>
      </c>
      <c r="AD25" s="19">
        <f t="shared" si="1"/>
        <v>-0.52030769230769258</v>
      </c>
      <c r="AE25" s="20">
        <v>54</v>
      </c>
      <c r="AF25" s="20">
        <f t="shared" si="2"/>
        <v>35.311999999999998</v>
      </c>
      <c r="AG25" s="21">
        <f t="shared" si="6"/>
        <v>-1.1680000000000001</v>
      </c>
      <c r="AH25" s="22">
        <v>73</v>
      </c>
      <c r="AI25" s="22">
        <f t="shared" si="3"/>
        <v>85.925999999999988</v>
      </c>
      <c r="AJ25" s="23">
        <f t="shared" si="7"/>
        <v>0.29377272727272702</v>
      </c>
      <c r="AK25" s="24">
        <v>97</v>
      </c>
      <c r="AL25" s="24">
        <f t="shared" si="4"/>
        <v>75.789999999999992</v>
      </c>
      <c r="AM25" s="26">
        <f t="shared" si="8"/>
        <v>-1.1783333333333337</v>
      </c>
      <c r="AN25" s="28">
        <v>88</v>
      </c>
      <c r="AO25" s="28">
        <f t="shared" si="5"/>
        <v>99.542000000000002</v>
      </c>
      <c r="AP25" s="30">
        <f t="shared" si="9"/>
        <v>0.57710000000000006</v>
      </c>
      <c r="AQ25" s="3">
        <f t="shared" si="10"/>
        <v>-1.9957682983682994</v>
      </c>
      <c r="AR25" s="1" t="str">
        <f t="shared" si="11"/>
        <v>NO EHM</v>
      </c>
      <c r="AS25" s="34" t="str">
        <f t="shared" si="12"/>
        <v>NO</v>
      </c>
    </row>
    <row r="26" spans="1:45" x14ac:dyDescent="0.45">
      <c r="A26" s="10">
        <v>25</v>
      </c>
      <c r="B26" s="1">
        <v>2019</v>
      </c>
      <c r="C26" s="1" t="s">
        <v>8</v>
      </c>
      <c r="D26" s="1" t="s">
        <v>1</v>
      </c>
      <c r="E26" s="1">
        <v>40</v>
      </c>
      <c r="F26" s="1" t="s">
        <v>2</v>
      </c>
      <c r="G26" s="1">
        <v>24</v>
      </c>
      <c r="H26" s="1" t="s">
        <v>3</v>
      </c>
      <c r="I26" s="33" t="s">
        <v>105</v>
      </c>
      <c r="J26" s="33" t="s">
        <v>115</v>
      </c>
      <c r="K26" s="33" t="s">
        <v>34</v>
      </c>
      <c r="L26" s="33" t="s">
        <v>116</v>
      </c>
      <c r="M26" s="33" t="s">
        <v>117</v>
      </c>
      <c r="N26" s="33" t="s">
        <v>105</v>
      </c>
      <c r="O26" s="33" t="s">
        <v>105</v>
      </c>
      <c r="P26" s="1">
        <v>3</v>
      </c>
      <c r="Q26" s="1">
        <v>18</v>
      </c>
      <c r="R26" s="1">
        <v>1.39</v>
      </c>
      <c r="S26" s="1">
        <v>4</v>
      </c>
      <c r="T26" s="1">
        <v>0.59</v>
      </c>
      <c r="U26" s="1">
        <v>1.32</v>
      </c>
      <c r="V26" s="1">
        <v>0</v>
      </c>
      <c r="W26" s="1">
        <v>0</v>
      </c>
      <c r="X26" s="1">
        <v>133</v>
      </c>
      <c r="Y26" s="1">
        <v>5</v>
      </c>
      <c r="Z26" s="1">
        <v>11</v>
      </c>
      <c r="AA26" s="1">
        <v>16</v>
      </c>
      <c r="AB26" s="18">
        <v>56</v>
      </c>
      <c r="AC26" s="18">
        <f t="shared" si="0"/>
        <v>46.137999999999991</v>
      </c>
      <c r="AD26" s="19">
        <f t="shared" si="1"/>
        <v>-0.75861538461538536</v>
      </c>
      <c r="AE26" s="20">
        <v>35</v>
      </c>
      <c r="AF26" s="20">
        <f t="shared" si="2"/>
        <v>23.866</v>
      </c>
      <c r="AG26" s="21">
        <f t="shared" si="6"/>
        <v>-0.69587500000000002</v>
      </c>
      <c r="AH26" s="22">
        <v>66</v>
      </c>
      <c r="AI26" s="22">
        <f t="shared" si="3"/>
        <v>55.626000000000005</v>
      </c>
      <c r="AJ26" s="23">
        <f t="shared" si="7"/>
        <v>-0.23577272727272716</v>
      </c>
      <c r="AK26" s="24">
        <v>68</v>
      </c>
      <c r="AL26" s="24">
        <f t="shared" si="4"/>
        <v>62.336000000000006</v>
      </c>
      <c r="AM26" s="26">
        <f t="shared" si="8"/>
        <v>-0.31466666666666637</v>
      </c>
      <c r="AN26" s="28">
        <v>58</v>
      </c>
      <c r="AO26" s="28">
        <f t="shared" si="5"/>
        <v>84.796000000000006</v>
      </c>
      <c r="AP26" s="30">
        <f t="shared" si="9"/>
        <v>1.3398000000000003</v>
      </c>
      <c r="AQ26" s="3">
        <f t="shared" si="10"/>
        <v>-0.66512977855477873</v>
      </c>
      <c r="AR26" s="1" t="str">
        <f t="shared" si="11"/>
        <v>NO EHM</v>
      </c>
      <c r="AS26" s="34" t="str">
        <f t="shared" si="12"/>
        <v>SI</v>
      </c>
    </row>
    <row r="27" spans="1:45" x14ac:dyDescent="0.45">
      <c r="A27" s="10">
        <v>26</v>
      </c>
      <c r="B27" s="1">
        <v>2019</v>
      </c>
      <c r="C27" s="1" t="s">
        <v>4</v>
      </c>
      <c r="D27" s="1" t="s">
        <v>5</v>
      </c>
      <c r="E27" s="1">
        <v>55</v>
      </c>
      <c r="F27" s="1" t="s">
        <v>2</v>
      </c>
      <c r="G27" s="1">
        <v>11</v>
      </c>
      <c r="H27" s="1" t="s">
        <v>3</v>
      </c>
      <c r="I27" s="33" t="s">
        <v>105</v>
      </c>
      <c r="J27" s="33" t="s">
        <v>105</v>
      </c>
      <c r="K27" s="33" t="s">
        <v>105</v>
      </c>
      <c r="L27" s="33" t="s">
        <v>105</v>
      </c>
      <c r="M27" s="33" t="s">
        <v>105</v>
      </c>
      <c r="N27" s="33" t="s">
        <v>105</v>
      </c>
      <c r="O27" s="33" t="s">
        <v>105</v>
      </c>
      <c r="P27" s="1">
        <v>0</v>
      </c>
      <c r="Q27" s="1">
        <v>15</v>
      </c>
      <c r="R27" s="1">
        <v>0.96</v>
      </c>
      <c r="S27" s="1">
        <v>4.59</v>
      </c>
      <c r="T27" s="1">
        <v>0.6</v>
      </c>
      <c r="U27" s="1">
        <v>0.78</v>
      </c>
      <c r="V27" s="1">
        <v>0</v>
      </c>
      <c r="W27" s="1">
        <v>0</v>
      </c>
      <c r="X27" s="1">
        <v>135</v>
      </c>
      <c r="Y27" s="1">
        <v>5</v>
      </c>
      <c r="Z27" s="1">
        <v>6</v>
      </c>
      <c r="AA27" s="1">
        <v>11</v>
      </c>
      <c r="AB27" s="18">
        <v>24</v>
      </c>
      <c r="AC27" s="18">
        <f t="shared" si="0"/>
        <v>35.844999999999999</v>
      </c>
      <c r="AD27" s="19">
        <f t="shared" si="1"/>
        <v>0.91115384615384609</v>
      </c>
      <c r="AE27" s="20">
        <v>63</v>
      </c>
      <c r="AF27" s="20">
        <f t="shared" si="2"/>
        <v>34.464999999999989</v>
      </c>
      <c r="AG27" s="21">
        <f t="shared" si="6"/>
        <v>-1.7834375000000007</v>
      </c>
      <c r="AH27" s="22">
        <v>165</v>
      </c>
      <c r="AI27" s="22">
        <f t="shared" si="3"/>
        <v>84.11999999999999</v>
      </c>
      <c r="AJ27" s="23">
        <f t="shared" si="7"/>
        <v>-1.8381818181818184</v>
      </c>
      <c r="AK27" s="24">
        <v>98</v>
      </c>
      <c r="AL27" s="24">
        <f t="shared" si="4"/>
        <v>73.534999999999997</v>
      </c>
      <c r="AM27" s="26">
        <f t="shared" si="8"/>
        <v>-1.3591666666666669</v>
      </c>
      <c r="AN27" s="28">
        <v>97</v>
      </c>
      <c r="AO27" s="28">
        <f t="shared" si="5"/>
        <v>96.745000000000005</v>
      </c>
      <c r="AP27" s="30">
        <f t="shared" si="9"/>
        <v>-1.2749999999999772E-2</v>
      </c>
      <c r="AQ27" s="3">
        <f t="shared" si="10"/>
        <v>-4.0823821386946397</v>
      </c>
      <c r="AR27" s="1" t="str">
        <f t="shared" si="11"/>
        <v>NO EHM</v>
      </c>
      <c r="AS27" s="34" t="str">
        <f t="shared" si="12"/>
        <v>NO</v>
      </c>
    </row>
    <row r="28" spans="1:45" x14ac:dyDescent="0.45">
      <c r="A28" s="10">
        <v>27</v>
      </c>
      <c r="B28" s="1">
        <v>2019</v>
      </c>
      <c r="C28" s="1" t="s">
        <v>25</v>
      </c>
      <c r="D28" s="1" t="s">
        <v>1</v>
      </c>
      <c r="E28" s="1">
        <v>45</v>
      </c>
      <c r="F28" s="1" t="s">
        <v>9</v>
      </c>
      <c r="G28" s="1">
        <v>60</v>
      </c>
      <c r="H28" s="1" t="s">
        <v>105</v>
      </c>
      <c r="I28" s="33" t="s">
        <v>105</v>
      </c>
      <c r="J28" s="33" t="s">
        <v>105</v>
      </c>
      <c r="K28" s="33" t="s">
        <v>105</v>
      </c>
      <c r="L28" s="33" t="s">
        <v>105</v>
      </c>
      <c r="M28" s="33" t="s">
        <v>105</v>
      </c>
      <c r="N28" s="33" t="s">
        <v>105</v>
      </c>
      <c r="O28" s="33" t="s">
        <v>105</v>
      </c>
      <c r="P28" s="1">
        <v>2</v>
      </c>
      <c r="Q28" s="1">
        <v>17</v>
      </c>
      <c r="R28" s="1">
        <v>1.19</v>
      </c>
      <c r="S28" s="1">
        <v>4.2</v>
      </c>
      <c r="T28" s="1">
        <v>0.72</v>
      </c>
      <c r="U28" s="1">
        <v>0.74</v>
      </c>
      <c r="V28" s="1">
        <v>0</v>
      </c>
      <c r="W28" s="1">
        <v>0</v>
      </c>
      <c r="X28" s="1">
        <v>135</v>
      </c>
      <c r="Y28" s="1">
        <v>5</v>
      </c>
      <c r="Z28" s="1">
        <v>8</v>
      </c>
      <c r="AA28" s="1">
        <v>12</v>
      </c>
      <c r="AB28" s="18">
        <v>33</v>
      </c>
      <c r="AC28" s="18">
        <f t="shared" si="0"/>
        <v>42.706999999999994</v>
      </c>
      <c r="AD28" s="19">
        <f t="shared" si="1"/>
        <v>0.74669230769230721</v>
      </c>
      <c r="AE28" s="20">
        <v>32</v>
      </c>
      <c r="AF28" s="20">
        <f t="shared" si="2"/>
        <v>27.399000000000004</v>
      </c>
      <c r="AG28" s="21">
        <f t="shared" si="6"/>
        <v>-0.28756249999999972</v>
      </c>
      <c r="AH28" s="22">
        <v>128</v>
      </c>
      <c r="AI28" s="22">
        <f t="shared" si="3"/>
        <v>65.123999999999981</v>
      </c>
      <c r="AJ28" s="23">
        <f t="shared" si="7"/>
        <v>-1.4290000000000005</v>
      </c>
      <c r="AK28" s="24">
        <v>60</v>
      </c>
      <c r="AL28" s="24">
        <f t="shared" si="4"/>
        <v>66.068999999999988</v>
      </c>
      <c r="AM28" s="26">
        <f t="shared" si="8"/>
        <v>0.337166666666666</v>
      </c>
      <c r="AN28" s="28">
        <v>95</v>
      </c>
      <c r="AO28" s="28">
        <f t="shared" si="5"/>
        <v>88.778999999999996</v>
      </c>
      <c r="AP28" s="30">
        <f t="shared" si="9"/>
        <v>-0.31105000000000016</v>
      </c>
      <c r="AQ28" s="3">
        <f t="shared" si="10"/>
        <v>-0.9437535256410271</v>
      </c>
      <c r="AR28" s="1" t="str">
        <f t="shared" si="11"/>
        <v>NO EHM</v>
      </c>
      <c r="AS28" s="34" t="str">
        <f t="shared" si="12"/>
        <v>SI</v>
      </c>
    </row>
    <row r="29" spans="1:45" x14ac:dyDescent="0.45">
      <c r="A29" s="10">
        <v>28</v>
      </c>
      <c r="B29" s="1">
        <v>2019</v>
      </c>
      <c r="C29" s="1" t="s">
        <v>8</v>
      </c>
      <c r="D29" s="1" t="s">
        <v>1</v>
      </c>
      <c r="E29" s="1">
        <v>64</v>
      </c>
      <c r="F29" s="1" t="s">
        <v>2</v>
      </c>
      <c r="G29" s="1">
        <v>36</v>
      </c>
      <c r="H29" s="1" t="s">
        <v>105</v>
      </c>
      <c r="I29" s="33" t="s">
        <v>105</v>
      </c>
      <c r="J29" s="33" t="s">
        <v>34</v>
      </c>
      <c r="K29" s="33" t="s">
        <v>10</v>
      </c>
      <c r="L29" s="33" t="s">
        <v>113</v>
      </c>
      <c r="M29" s="33" t="s">
        <v>105</v>
      </c>
      <c r="N29" s="33" t="s">
        <v>105</v>
      </c>
      <c r="O29" s="33" t="s">
        <v>105</v>
      </c>
      <c r="P29" s="1">
        <v>2</v>
      </c>
      <c r="Q29" s="1">
        <v>16</v>
      </c>
      <c r="R29" s="1">
        <v>1.35</v>
      </c>
      <c r="S29" s="1">
        <v>3.76</v>
      </c>
      <c r="T29" s="1">
        <v>1.1200000000000001</v>
      </c>
      <c r="U29" s="1">
        <v>0.85</v>
      </c>
      <c r="V29" s="1">
        <v>0</v>
      </c>
      <c r="W29" s="1">
        <v>0</v>
      </c>
      <c r="X29" s="1">
        <v>136</v>
      </c>
      <c r="Y29" s="1">
        <v>5</v>
      </c>
      <c r="Z29" s="1">
        <v>11</v>
      </c>
      <c r="AA29" s="1">
        <v>14</v>
      </c>
      <c r="AB29" s="18">
        <v>28</v>
      </c>
      <c r="AC29" s="18">
        <f t="shared" si="0"/>
        <v>33.396000000000001</v>
      </c>
      <c r="AD29" s="19">
        <f t="shared" si="1"/>
        <v>0.41507692307692312</v>
      </c>
      <c r="AE29" s="20">
        <v>77</v>
      </c>
      <c r="AF29" s="20">
        <f t="shared" si="2"/>
        <v>36.042000000000002</v>
      </c>
      <c r="AG29" s="21">
        <f t="shared" si="6"/>
        <v>-2.5598749999999999</v>
      </c>
      <c r="AH29" s="22">
        <v>172</v>
      </c>
      <c r="AI29" s="22">
        <f t="shared" si="3"/>
        <v>87.81</v>
      </c>
      <c r="AJ29" s="23">
        <f t="shared" si="7"/>
        <v>-1.9134090909090908</v>
      </c>
      <c r="AK29" s="24">
        <v>70</v>
      </c>
      <c r="AL29" s="24">
        <f t="shared" si="4"/>
        <v>76.788000000000011</v>
      </c>
      <c r="AM29" s="26">
        <f t="shared" si="8"/>
        <v>0.37711111111111173</v>
      </c>
      <c r="AN29" s="28">
        <v>101</v>
      </c>
      <c r="AO29" s="28">
        <f t="shared" si="5"/>
        <v>100.672</v>
      </c>
      <c r="AP29" s="30">
        <f t="shared" si="9"/>
        <v>-1.6400000000000147E-2</v>
      </c>
      <c r="AQ29" s="3">
        <f t="shared" si="10"/>
        <v>-3.6974960567210555</v>
      </c>
      <c r="AR29" s="1" t="str">
        <f t="shared" si="11"/>
        <v>NO EHM</v>
      </c>
      <c r="AS29" s="34" t="str">
        <f t="shared" si="12"/>
        <v>SI</v>
      </c>
    </row>
    <row r="30" spans="1:45" x14ac:dyDescent="0.45">
      <c r="A30" s="10">
        <v>29</v>
      </c>
      <c r="B30" s="1">
        <v>2019</v>
      </c>
      <c r="C30" s="1" t="s">
        <v>26</v>
      </c>
      <c r="D30" s="1" t="s">
        <v>5</v>
      </c>
      <c r="E30" s="1">
        <v>58</v>
      </c>
      <c r="F30" s="1" t="s">
        <v>27</v>
      </c>
      <c r="G30" s="1">
        <v>1</v>
      </c>
      <c r="H30" s="1" t="s">
        <v>105</v>
      </c>
      <c r="I30" s="33" t="s">
        <v>105</v>
      </c>
      <c r="J30" s="4" t="s">
        <v>28</v>
      </c>
      <c r="K30" s="33" t="s">
        <v>105</v>
      </c>
      <c r="L30" s="33" t="s">
        <v>105</v>
      </c>
      <c r="M30" s="33" t="s">
        <v>105</v>
      </c>
      <c r="N30" s="33" t="s">
        <v>105</v>
      </c>
      <c r="O30" s="33" t="s">
        <v>105</v>
      </c>
      <c r="P30" s="1">
        <v>0</v>
      </c>
      <c r="Q30" s="1">
        <v>14</v>
      </c>
      <c r="R30" s="1">
        <v>1.2</v>
      </c>
      <c r="S30" s="1">
        <v>4.1500000000000004</v>
      </c>
      <c r="T30" s="1">
        <v>0.7</v>
      </c>
      <c r="U30" s="1">
        <v>0.77</v>
      </c>
      <c r="V30" s="1">
        <v>0</v>
      </c>
      <c r="W30" s="1">
        <v>0</v>
      </c>
      <c r="X30" s="1">
        <v>137</v>
      </c>
      <c r="Y30" s="1">
        <v>5</v>
      </c>
      <c r="Z30" s="1">
        <v>8</v>
      </c>
      <c r="AA30" s="1">
        <v>11</v>
      </c>
      <c r="AB30" s="18">
        <v>38</v>
      </c>
      <c r="AC30" s="18">
        <f t="shared" si="0"/>
        <v>33.253999999999998</v>
      </c>
      <c r="AD30" s="19">
        <f t="shared" si="1"/>
        <v>-0.36507692307692324</v>
      </c>
      <c r="AE30" s="20">
        <v>48</v>
      </c>
      <c r="AF30" s="20">
        <f t="shared" si="2"/>
        <v>37.267999999999994</v>
      </c>
      <c r="AG30" s="21">
        <f t="shared" si="6"/>
        <v>-0.6707500000000004</v>
      </c>
      <c r="AH30" s="22">
        <v>123</v>
      </c>
      <c r="AI30" s="22">
        <f t="shared" si="3"/>
        <v>91.73399999999998</v>
      </c>
      <c r="AJ30" s="23">
        <f t="shared" si="7"/>
        <v>-0.71059090909090949</v>
      </c>
      <c r="AK30" s="24">
        <v>67</v>
      </c>
      <c r="AL30" s="24">
        <f t="shared" si="4"/>
        <v>76.27000000000001</v>
      </c>
      <c r="AM30" s="26">
        <f t="shared" si="8"/>
        <v>0.51500000000000057</v>
      </c>
      <c r="AN30" s="28">
        <v>75</v>
      </c>
      <c r="AO30" s="28">
        <f t="shared" si="5"/>
        <v>99.597999999999999</v>
      </c>
      <c r="AP30" s="30">
        <f t="shared" si="9"/>
        <v>1.2299</v>
      </c>
      <c r="AQ30" s="3">
        <f t="shared" si="10"/>
        <v>-1.5178321678326334E-3</v>
      </c>
      <c r="AR30" s="1" t="str">
        <f t="shared" si="11"/>
        <v>NO EHM</v>
      </c>
      <c r="AS30" s="34" t="str">
        <f t="shared" si="12"/>
        <v>NO</v>
      </c>
    </row>
    <row r="31" spans="1:45" x14ac:dyDescent="0.45">
      <c r="A31" s="10">
        <v>30</v>
      </c>
      <c r="B31" s="1">
        <v>2019</v>
      </c>
      <c r="C31" s="1" t="s">
        <v>4</v>
      </c>
      <c r="D31" s="1" t="s">
        <v>5</v>
      </c>
      <c r="E31" s="1">
        <v>61</v>
      </c>
      <c r="F31" s="1" t="s">
        <v>2</v>
      </c>
      <c r="G31" s="1">
        <v>17</v>
      </c>
      <c r="H31" s="1" t="s">
        <v>105</v>
      </c>
      <c r="I31" s="33" t="s">
        <v>105</v>
      </c>
      <c r="J31" s="33" t="s">
        <v>37</v>
      </c>
      <c r="K31" s="33" t="s">
        <v>113</v>
      </c>
      <c r="L31" s="33" t="s">
        <v>105</v>
      </c>
      <c r="M31" s="33" t="s">
        <v>105</v>
      </c>
      <c r="N31" s="33" t="s">
        <v>105</v>
      </c>
      <c r="O31" s="33" t="s">
        <v>105</v>
      </c>
      <c r="P31" s="1">
        <v>0</v>
      </c>
      <c r="Q31" s="1">
        <v>13</v>
      </c>
      <c r="R31" s="1">
        <v>1.24</v>
      </c>
      <c r="S31" s="1">
        <v>3.81</v>
      </c>
      <c r="T31" s="1">
        <v>0.72</v>
      </c>
      <c r="U31" s="1">
        <v>1.42</v>
      </c>
      <c r="V31" s="1">
        <v>0</v>
      </c>
      <c r="W31" s="1">
        <v>0</v>
      </c>
      <c r="X31" s="1">
        <v>142</v>
      </c>
      <c r="Y31" s="1">
        <v>5</v>
      </c>
      <c r="Z31" s="1">
        <v>10</v>
      </c>
      <c r="AA31" s="1">
        <v>10</v>
      </c>
      <c r="AB31" s="18">
        <v>22</v>
      </c>
      <c r="AC31" s="18">
        <f t="shared" si="0"/>
        <v>30.663</v>
      </c>
      <c r="AD31" s="19">
        <f t="shared" si="1"/>
        <v>0.66638461538461535</v>
      </c>
      <c r="AE31" s="20">
        <v>47</v>
      </c>
      <c r="AF31" s="20">
        <f t="shared" si="2"/>
        <v>40.070999999999998</v>
      </c>
      <c r="AG31" s="21">
        <f t="shared" si="6"/>
        <v>-0.43306250000000013</v>
      </c>
      <c r="AH31" s="22">
        <v>144</v>
      </c>
      <c r="AI31" s="22">
        <f t="shared" si="3"/>
        <v>99.347999999999985</v>
      </c>
      <c r="AJ31" s="23">
        <f t="shared" si="7"/>
        <v>-1.0148181818181821</v>
      </c>
      <c r="AK31" s="24">
        <v>121</v>
      </c>
      <c r="AL31" s="24">
        <f t="shared" si="4"/>
        <v>79.004999999999995</v>
      </c>
      <c r="AM31" s="26">
        <f t="shared" si="8"/>
        <v>-2.3330555555555557</v>
      </c>
      <c r="AN31" s="28">
        <v>83</v>
      </c>
      <c r="AO31" s="28">
        <f t="shared" si="5"/>
        <v>102.45099999999999</v>
      </c>
      <c r="AP31" s="30">
        <f t="shared" si="9"/>
        <v>0.97254999999999969</v>
      </c>
      <c r="AQ31" s="3">
        <f t="shared" si="10"/>
        <v>-2.1420016219891229</v>
      </c>
      <c r="AR31" s="1" t="str">
        <f t="shared" si="11"/>
        <v>NO EHM</v>
      </c>
      <c r="AS31" s="34" t="str">
        <f t="shared" si="12"/>
        <v>NO</v>
      </c>
    </row>
    <row r="32" spans="1:45" x14ac:dyDescent="0.45">
      <c r="A32" s="10">
        <v>31</v>
      </c>
      <c r="B32" s="1">
        <v>2019</v>
      </c>
      <c r="C32" s="1" t="s">
        <v>29</v>
      </c>
      <c r="D32" s="1" t="s">
        <v>1</v>
      </c>
      <c r="E32" s="1">
        <v>57</v>
      </c>
      <c r="F32" s="1" t="s">
        <v>9</v>
      </c>
      <c r="G32" s="1">
        <v>1</v>
      </c>
      <c r="H32" s="1" t="s">
        <v>105</v>
      </c>
      <c r="I32" s="33" t="s">
        <v>105</v>
      </c>
      <c r="J32" s="33" t="s">
        <v>105</v>
      </c>
      <c r="K32" s="33" t="s">
        <v>105</v>
      </c>
      <c r="L32" s="33" t="s">
        <v>105</v>
      </c>
      <c r="M32" s="33" t="s">
        <v>105</v>
      </c>
      <c r="N32" s="33" t="s">
        <v>105</v>
      </c>
      <c r="O32" s="33" t="s">
        <v>105</v>
      </c>
      <c r="P32" s="1">
        <v>0</v>
      </c>
      <c r="Q32" s="1">
        <v>16</v>
      </c>
      <c r="R32" s="1">
        <v>1.41</v>
      </c>
      <c r="S32" s="1">
        <v>4.49</v>
      </c>
      <c r="T32" s="1">
        <v>0.87</v>
      </c>
      <c r="U32" s="1">
        <v>1.28</v>
      </c>
      <c r="V32" s="1">
        <v>0</v>
      </c>
      <c r="W32" s="1">
        <v>0</v>
      </c>
      <c r="X32" s="1">
        <v>138</v>
      </c>
      <c r="Y32" s="1">
        <v>5</v>
      </c>
      <c r="Z32" s="1">
        <v>11</v>
      </c>
      <c r="AA32" s="1">
        <v>13</v>
      </c>
      <c r="AB32" s="18">
        <v>33</v>
      </c>
      <c r="AC32" s="18">
        <f t="shared" si="0"/>
        <v>36.335999999999999</v>
      </c>
      <c r="AD32" s="19">
        <f t="shared" si="1"/>
        <v>0.25661538461538452</v>
      </c>
      <c r="AE32" s="20">
        <v>48</v>
      </c>
      <c r="AF32" s="20">
        <f t="shared" si="2"/>
        <v>33.486999999999995</v>
      </c>
      <c r="AG32" s="21">
        <f t="shared" si="6"/>
        <v>-0.90706250000000033</v>
      </c>
      <c r="AH32" s="22">
        <v>87</v>
      </c>
      <c r="AI32" s="22">
        <f t="shared" si="3"/>
        <v>81.21599999999998</v>
      </c>
      <c r="AJ32" s="23">
        <f t="shared" si="7"/>
        <v>-0.13145454545454591</v>
      </c>
      <c r="AK32" s="24">
        <v>107</v>
      </c>
      <c r="AL32" s="24">
        <f t="shared" si="4"/>
        <v>73.294999999999987</v>
      </c>
      <c r="AM32" s="26">
        <f t="shared" si="8"/>
        <v>-1.8725000000000007</v>
      </c>
      <c r="AN32" s="28">
        <v>132</v>
      </c>
      <c r="AO32" s="28">
        <f t="shared" si="5"/>
        <v>96.717000000000013</v>
      </c>
      <c r="AP32" s="30">
        <f t="shared" si="9"/>
        <v>-1.7641499999999994</v>
      </c>
      <c r="AQ32" s="3">
        <f t="shared" si="10"/>
        <v>-4.418551660839162</v>
      </c>
      <c r="AR32" s="1" t="str">
        <f t="shared" si="11"/>
        <v>NO EHM</v>
      </c>
      <c r="AS32" s="34" t="str">
        <f t="shared" si="12"/>
        <v>NO</v>
      </c>
    </row>
    <row r="33" spans="1:45" x14ac:dyDescent="0.45">
      <c r="A33" s="10">
        <v>32</v>
      </c>
      <c r="B33" s="1">
        <v>2019</v>
      </c>
      <c r="C33" s="1" t="s">
        <v>30</v>
      </c>
      <c r="D33" s="1" t="s">
        <v>1</v>
      </c>
      <c r="E33" s="1">
        <v>48</v>
      </c>
      <c r="F33" s="1" t="s">
        <v>2</v>
      </c>
      <c r="G33" s="1">
        <v>32</v>
      </c>
      <c r="H33" s="1" t="s">
        <v>105</v>
      </c>
      <c r="I33" s="33" t="s">
        <v>105</v>
      </c>
      <c r="J33" s="33" t="s">
        <v>105</v>
      </c>
      <c r="K33" s="33" t="s">
        <v>105</v>
      </c>
      <c r="L33" s="33" t="s">
        <v>105</v>
      </c>
      <c r="M33" s="33" t="s">
        <v>105</v>
      </c>
      <c r="N33" s="33" t="s">
        <v>105</v>
      </c>
      <c r="O33" s="33" t="s">
        <v>105</v>
      </c>
      <c r="P33" s="1">
        <v>1</v>
      </c>
      <c r="Q33" s="1">
        <v>22</v>
      </c>
      <c r="R33" s="1">
        <v>1.1000000000000001</v>
      </c>
      <c r="S33" s="1">
        <v>3.76</v>
      </c>
      <c r="T33" s="1">
        <v>0.69</v>
      </c>
      <c r="U33" s="1">
        <v>2.04</v>
      </c>
      <c r="V33" s="1">
        <v>0</v>
      </c>
      <c r="W33" s="1">
        <v>0</v>
      </c>
      <c r="X33" s="1">
        <v>136</v>
      </c>
      <c r="Y33" s="1">
        <v>6</v>
      </c>
      <c r="Z33" s="1">
        <v>10</v>
      </c>
      <c r="AA33" s="1">
        <v>13</v>
      </c>
      <c r="AB33" s="18">
        <v>51</v>
      </c>
      <c r="AC33" s="18">
        <f t="shared" si="0"/>
        <v>48.101999999999997</v>
      </c>
      <c r="AD33" s="19">
        <f t="shared" si="1"/>
        <v>-0.22292307692307717</v>
      </c>
      <c r="AE33" s="20">
        <v>30</v>
      </c>
      <c r="AF33" s="20">
        <f t="shared" si="2"/>
        <v>19.954000000000001</v>
      </c>
      <c r="AG33" s="21">
        <f t="shared" si="6"/>
        <v>-0.62787499999999996</v>
      </c>
      <c r="AH33" s="22">
        <v>52</v>
      </c>
      <c r="AI33" s="22">
        <f t="shared" si="3"/>
        <v>44.009999999999991</v>
      </c>
      <c r="AJ33" s="23">
        <f t="shared" si="7"/>
        <v>-0.1815909090909093</v>
      </c>
      <c r="AK33" s="24">
        <v>49</v>
      </c>
      <c r="AL33" s="24">
        <f t="shared" si="4"/>
        <v>61.375999999999991</v>
      </c>
      <c r="AM33" s="26">
        <f t="shared" si="8"/>
        <v>0.68755555555555503</v>
      </c>
      <c r="AN33" s="28">
        <v>50</v>
      </c>
      <c r="AO33" s="28">
        <f t="shared" si="5"/>
        <v>84.683999999999997</v>
      </c>
      <c r="AP33" s="30">
        <f t="shared" si="9"/>
        <v>1.7342</v>
      </c>
      <c r="AQ33" s="3">
        <f t="shared" si="10"/>
        <v>1.3893665695415685</v>
      </c>
      <c r="AR33" s="1" t="str">
        <f t="shared" si="11"/>
        <v>NO EHM</v>
      </c>
      <c r="AS33" s="34" t="str">
        <f t="shared" si="12"/>
        <v>SI</v>
      </c>
    </row>
    <row r="34" spans="1:45" x14ac:dyDescent="0.45">
      <c r="A34" s="10">
        <v>33</v>
      </c>
      <c r="B34" s="1">
        <v>2019</v>
      </c>
      <c r="C34" s="1" t="s">
        <v>31</v>
      </c>
      <c r="D34" s="1" t="s">
        <v>1</v>
      </c>
      <c r="E34" s="1">
        <v>48</v>
      </c>
      <c r="F34" s="1" t="s">
        <v>2</v>
      </c>
      <c r="G34" s="1">
        <v>1</v>
      </c>
      <c r="H34" s="1" t="s">
        <v>105</v>
      </c>
      <c r="I34" s="33" t="s">
        <v>105</v>
      </c>
      <c r="J34" s="33" t="s">
        <v>105</v>
      </c>
      <c r="K34" s="33" t="s">
        <v>105</v>
      </c>
      <c r="L34" s="33" t="s">
        <v>105</v>
      </c>
      <c r="M34" s="33" t="s">
        <v>105</v>
      </c>
      <c r="N34" s="33" t="s">
        <v>105</v>
      </c>
      <c r="O34" s="33" t="s">
        <v>105</v>
      </c>
      <c r="P34" s="1">
        <v>2</v>
      </c>
      <c r="Q34" s="1">
        <v>14</v>
      </c>
      <c r="R34" s="1">
        <v>1.42</v>
      </c>
      <c r="S34" s="1">
        <v>3.69</v>
      </c>
      <c r="T34" s="1">
        <v>0.66</v>
      </c>
      <c r="U34" s="1">
        <v>3.67</v>
      </c>
      <c r="V34" s="1">
        <v>0</v>
      </c>
      <c r="W34" s="1">
        <v>0</v>
      </c>
      <c r="X34" s="1">
        <v>135</v>
      </c>
      <c r="Y34" s="1">
        <v>7</v>
      </c>
      <c r="Z34" s="1">
        <v>17</v>
      </c>
      <c r="AA34" s="1">
        <v>18</v>
      </c>
      <c r="AB34" s="18">
        <v>27</v>
      </c>
      <c r="AC34" s="18">
        <f t="shared" ref="AC34:AC62" si="13">38.98-(E34*0.42)+(Q34*1.331)</f>
        <v>37.453999999999994</v>
      </c>
      <c r="AD34" s="19">
        <f t="shared" ref="AD34:AD62" si="14">(AC34-AB34)/13</f>
        <v>0.80415384615384566</v>
      </c>
      <c r="AE34" s="20">
        <v>77</v>
      </c>
      <c r="AF34" s="20">
        <f t="shared" ref="AF34:AF62" si="15">40.01+(E34*0.365)-(Q34*1.708)</f>
        <v>33.618000000000002</v>
      </c>
      <c r="AG34" s="21">
        <f t="shared" si="6"/>
        <v>-2.7113749999999999</v>
      </c>
      <c r="AH34" s="22">
        <v>193</v>
      </c>
      <c r="AI34" s="22">
        <f t="shared" ref="AI34:AI62" si="16">104.13+(E34*0.942)-(Q34*4.788)</f>
        <v>82.313999999999993</v>
      </c>
      <c r="AJ34" s="23">
        <f t="shared" si="7"/>
        <v>-2.5155909090909092</v>
      </c>
      <c r="AK34" s="24">
        <v>72</v>
      </c>
      <c r="AL34" s="24">
        <f t="shared" ref="AL34:AL62" si="17">64.66+(E34*0.499)-(Q34*1.238)</f>
        <v>71.28</v>
      </c>
      <c r="AM34" s="26">
        <f t="shared" si="8"/>
        <v>-3.9999999999999938E-2</v>
      </c>
      <c r="AN34" s="28">
        <v>106</v>
      </c>
      <c r="AO34" s="28">
        <f t="shared" ref="AO34:AO62" si="18">83.04+(E34*0.565)-(Q34*1.158)</f>
        <v>93.947999999999993</v>
      </c>
      <c r="AP34" s="30">
        <f t="shared" si="9"/>
        <v>-0.60260000000000036</v>
      </c>
      <c r="AQ34" s="3">
        <f t="shared" si="10"/>
        <v>-5.0654120629370647</v>
      </c>
      <c r="AR34" s="1" t="str">
        <f t="shared" si="11"/>
        <v>EHM</v>
      </c>
      <c r="AS34" s="34" t="str">
        <f t="shared" si="12"/>
        <v>SI</v>
      </c>
    </row>
    <row r="35" spans="1:45" x14ac:dyDescent="0.45">
      <c r="A35" s="10">
        <v>34</v>
      </c>
      <c r="B35" s="1">
        <v>2019</v>
      </c>
      <c r="C35" s="1" t="s">
        <v>29</v>
      </c>
      <c r="D35" s="1" t="s">
        <v>1</v>
      </c>
      <c r="E35" s="1">
        <v>47</v>
      </c>
      <c r="F35" s="1" t="s">
        <v>2</v>
      </c>
      <c r="G35" s="1">
        <v>1</v>
      </c>
      <c r="H35" s="1" t="s">
        <v>3</v>
      </c>
      <c r="I35" s="33" t="s">
        <v>105</v>
      </c>
      <c r="J35" s="33" t="s">
        <v>105</v>
      </c>
      <c r="K35" s="33" t="s">
        <v>105</v>
      </c>
      <c r="L35" s="33" t="s">
        <v>105</v>
      </c>
      <c r="M35" s="33" t="s">
        <v>105</v>
      </c>
      <c r="N35" s="33" t="s">
        <v>105</v>
      </c>
      <c r="O35" s="33" t="s">
        <v>105</v>
      </c>
      <c r="P35" s="1">
        <v>0</v>
      </c>
      <c r="Q35" s="1">
        <v>11</v>
      </c>
      <c r="R35" s="1">
        <v>1.48</v>
      </c>
      <c r="S35" s="1">
        <v>3.26</v>
      </c>
      <c r="T35" s="1">
        <v>0.56999999999999995</v>
      </c>
      <c r="U35" s="1">
        <v>1.89</v>
      </c>
      <c r="V35" s="1">
        <v>0</v>
      </c>
      <c r="W35" s="1">
        <v>2</v>
      </c>
      <c r="X35" s="1">
        <v>139</v>
      </c>
      <c r="Y35" s="1">
        <v>7</v>
      </c>
      <c r="Z35" s="1">
        <v>13</v>
      </c>
      <c r="AA35" s="1">
        <v>14</v>
      </c>
      <c r="AB35" s="18">
        <v>22</v>
      </c>
      <c r="AC35" s="18">
        <f t="shared" si="13"/>
        <v>33.881</v>
      </c>
      <c r="AD35" s="19">
        <f t="shared" si="14"/>
        <v>0.91392307692307695</v>
      </c>
      <c r="AE35" s="20">
        <v>92</v>
      </c>
      <c r="AF35" s="20">
        <f t="shared" si="15"/>
        <v>38.376999999999995</v>
      </c>
      <c r="AG35" s="21">
        <f t="shared" si="6"/>
        <v>-3.3514375000000003</v>
      </c>
      <c r="AH35" s="22">
        <v>228</v>
      </c>
      <c r="AI35" s="22">
        <f t="shared" si="16"/>
        <v>95.73599999999999</v>
      </c>
      <c r="AJ35" s="23">
        <f t="shared" si="7"/>
        <v>-3.0060000000000002</v>
      </c>
      <c r="AK35" s="24">
        <v>85</v>
      </c>
      <c r="AL35" s="24">
        <f t="shared" si="17"/>
        <v>74.495000000000005</v>
      </c>
      <c r="AM35" s="26">
        <f t="shared" si="8"/>
        <v>-0.58361111111111086</v>
      </c>
      <c r="AN35" s="28">
        <v>102</v>
      </c>
      <c r="AO35" s="28">
        <f t="shared" si="18"/>
        <v>96.856999999999999</v>
      </c>
      <c r="AP35" s="30">
        <f t="shared" si="9"/>
        <v>-0.25715000000000005</v>
      </c>
      <c r="AQ35" s="3">
        <f t="shared" si="10"/>
        <v>-6.2842755341880343</v>
      </c>
      <c r="AR35" s="1" t="str">
        <f t="shared" si="11"/>
        <v>EHM</v>
      </c>
      <c r="AS35" s="34" t="str">
        <f t="shared" si="12"/>
        <v>NO</v>
      </c>
    </row>
    <row r="36" spans="1:45" x14ac:dyDescent="0.45">
      <c r="A36" s="10">
        <v>35</v>
      </c>
      <c r="B36" s="1">
        <v>2019</v>
      </c>
      <c r="C36" s="1" t="s">
        <v>25</v>
      </c>
      <c r="D36" s="1" t="s">
        <v>1</v>
      </c>
      <c r="E36" s="1">
        <v>61</v>
      </c>
      <c r="F36" s="1" t="s">
        <v>2</v>
      </c>
      <c r="G36" s="1">
        <v>22</v>
      </c>
      <c r="H36" s="1" t="s">
        <v>3</v>
      </c>
      <c r="I36" s="33" t="s">
        <v>105</v>
      </c>
      <c r="J36" s="33" t="s">
        <v>122</v>
      </c>
      <c r="K36" s="33" t="s">
        <v>43</v>
      </c>
      <c r="L36" s="33" t="s">
        <v>105</v>
      </c>
      <c r="M36" s="33" t="s">
        <v>105</v>
      </c>
      <c r="N36" s="33" t="s">
        <v>105</v>
      </c>
      <c r="O36" s="33" t="s">
        <v>105</v>
      </c>
      <c r="P36" s="1">
        <v>3</v>
      </c>
      <c r="Q36" s="1">
        <v>19</v>
      </c>
      <c r="R36" s="1">
        <v>1.6</v>
      </c>
      <c r="S36" s="1">
        <v>3.87</v>
      </c>
      <c r="T36" s="1">
        <v>0.82</v>
      </c>
      <c r="U36" s="1">
        <v>2.0299999999999998</v>
      </c>
      <c r="V36" s="1">
        <v>0</v>
      </c>
      <c r="W36" s="1">
        <v>0</v>
      </c>
      <c r="X36" s="1">
        <v>135</v>
      </c>
      <c r="Y36" s="1">
        <v>6</v>
      </c>
      <c r="Z36" s="1">
        <v>16</v>
      </c>
      <c r="AA36" s="1">
        <v>18</v>
      </c>
      <c r="AB36" s="18">
        <v>26</v>
      </c>
      <c r="AC36" s="18">
        <f t="shared" si="13"/>
        <v>38.649000000000001</v>
      </c>
      <c r="AD36" s="19">
        <f t="shared" si="14"/>
        <v>0.97300000000000009</v>
      </c>
      <c r="AE36" s="20">
        <v>40</v>
      </c>
      <c r="AF36" s="20">
        <f t="shared" si="15"/>
        <v>29.823</v>
      </c>
      <c r="AG36" s="21">
        <f t="shared" si="6"/>
        <v>-0.63606249999999998</v>
      </c>
      <c r="AH36" s="22">
        <v>149</v>
      </c>
      <c r="AI36" s="22">
        <f t="shared" si="16"/>
        <v>70.619999999999976</v>
      </c>
      <c r="AJ36" s="23">
        <f t="shared" si="7"/>
        <v>-1.7813636363636369</v>
      </c>
      <c r="AK36" s="24">
        <v>110</v>
      </c>
      <c r="AL36" s="24">
        <f t="shared" si="17"/>
        <v>71.576999999999998</v>
      </c>
      <c r="AM36" s="26">
        <f t="shared" si="8"/>
        <v>-2.134611111111111</v>
      </c>
      <c r="AN36" s="28">
        <v>127</v>
      </c>
      <c r="AO36" s="28">
        <f t="shared" si="18"/>
        <v>95.503</v>
      </c>
      <c r="AP36" s="30">
        <f t="shared" si="9"/>
        <v>-1.5748500000000001</v>
      </c>
      <c r="AQ36" s="3">
        <f t="shared" si="10"/>
        <v>-5.1538872474747475</v>
      </c>
      <c r="AR36" s="1" t="str">
        <f t="shared" si="11"/>
        <v>EHM</v>
      </c>
      <c r="AS36" s="34" t="str">
        <f t="shared" si="12"/>
        <v>SI</v>
      </c>
    </row>
    <row r="37" spans="1:45" x14ac:dyDescent="0.45">
      <c r="A37" s="10">
        <v>36</v>
      </c>
      <c r="B37" s="1">
        <v>2019</v>
      </c>
      <c r="C37" s="1" t="s">
        <v>29</v>
      </c>
      <c r="D37" s="1" t="s">
        <v>1</v>
      </c>
      <c r="E37" s="1">
        <v>61</v>
      </c>
      <c r="F37" s="1" t="s">
        <v>2</v>
      </c>
      <c r="G37" s="1">
        <v>3</v>
      </c>
      <c r="H37" s="1" t="s">
        <v>105</v>
      </c>
      <c r="I37" s="33" t="s">
        <v>105</v>
      </c>
      <c r="J37" s="33" t="s">
        <v>105</v>
      </c>
      <c r="K37" s="33" t="s">
        <v>105</v>
      </c>
      <c r="L37" s="33" t="s">
        <v>105</v>
      </c>
      <c r="M37" s="33" t="s">
        <v>105</v>
      </c>
      <c r="N37" s="33" t="s">
        <v>105</v>
      </c>
      <c r="O37" s="33" t="s">
        <v>105</v>
      </c>
      <c r="P37" s="1">
        <v>2</v>
      </c>
      <c r="Q37" s="1">
        <v>11</v>
      </c>
      <c r="R37" s="1">
        <v>1.31</v>
      </c>
      <c r="S37" s="1">
        <v>3.79</v>
      </c>
      <c r="T37" s="1">
        <v>0.88</v>
      </c>
      <c r="U37" s="1">
        <v>1.54</v>
      </c>
      <c r="V37" s="1">
        <v>0</v>
      </c>
      <c r="W37" s="1">
        <v>0</v>
      </c>
      <c r="X37" s="1">
        <v>140</v>
      </c>
      <c r="Y37" s="1">
        <v>5</v>
      </c>
      <c r="Z37" s="1">
        <v>11</v>
      </c>
      <c r="AA37" s="1">
        <v>11</v>
      </c>
      <c r="AB37" s="18">
        <v>20</v>
      </c>
      <c r="AC37" s="18">
        <f t="shared" si="13"/>
        <v>28.000999999999998</v>
      </c>
      <c r="AD37" s="19">
        <f t="shared" si="14"/>
        <v>0.61546153846153828</v>
      </c>
      <c r="AE37" s="20">
        <v>65</v>
      </c>
      <c r="AF37" s="20">
        <f t="shared" si="15"/>
        <v>43.486999999999995</v>
      </c>
      <c r="AG37" s="21">
        <f t="shared" si="6"/>
        <v>-1.3445625000000003</v>
      </c>
      <c r="AH37" s="22">
        <v>278</v>
      </c>
      <c r="AI37" s="22">
        <f t="shared" si="16"/>
        <v>108.92399999999998</v>
      </c>
      <c r="AJ37" s="23">
        <f t="shared" si="7"/>
        <v>-3.8426363636363643</v>
      </c>
      <c r="AK37" s="24">
        <v>159</v>
      </c>
      <c r="AL37" s="24">
        <f t="shared" si="17"/>
        <v>81.480999999999995</v>
      </c>
      <c r="AM37" s="26">
        <f t="shared" si="8"/>
        <v>-4.3066111111111116</v>
      </c>
      <c r="AN37" s="28">
        <v>129</v>
      </c>
      <c r="AO37" s="28">
        <f t="shared" si="18"/>
        <v>104.767</v>
      </c>
      <c r="AP37" s="30">
        <f t="shared" si="9"/>
        <v>-1.2116500000000001</v>
      </c>
      <c r="AQ37" s="3">
        <f t="shared" si="10"/>
        <v>-10.089998436285939</v>
      </c>
      <c r="AR37" s="1" t="str">
        <f t="shared" si="11"/>
        <v>EHM</v>
      </c>
      <c r="AS37" s="34" t="str">
        <f t="shared" si="12"/>
        <v>SI</v>
      </c>
    </row>
    <row r="38" spans="1:45" x14ac:dyDescent="0.45">
      <c r="A38" s="10">
        <v>37</v>
      </c>
      <c r="B38" s="1">
        <v>2019</v>
      </c>
      <c r="C38" s="1" t="s">
        <v>23</v>
      </c>
      <c r="D38" s="1" t="s">
        <v>1</v>
      </c>
      <c r="E38" s="1">
        <v>37</v>
      </c>
      <c r="F38" s="1" t="s">
        <v>2</v>
      </c>
      <c r="G38" s="1">
        <v>5</v>
      </c>
      <c r="H38" s="1" t="s">
        <v>3</v>
      </c>
      <c r="I38" s="33" t="s">
        <v>105</v>
      </c>
      <c r="J38" s="33" t="s">
        <v>34</v>
      </c>
      <c r="K38" s="33" t="s">
        <v>113</v>
      </c>
      <c r="L38" s="33" t="s">
        <v>43</v>
      </c>
      <c r="M38" s="33" t="s">
        <v>105</v>
      </c>
      <c r="N38" s="33" t="s">
        <v>105</v>
      </c>
      <c r="O38" s="33" t="s">
        <v>105</v>
      </c>
      <c r="P38" s="1">
        <v>3</v>
      </c>
      <c r="Q38" s="1">
        <v>13</v>
      </c>
      <c r="R38" s="1">
        <v>1.22</v>
      </c>
      <c r="S38" s="1">
        <v>3.56</v>
      </c>
      <c r="T38" s="1">
        <v>0.68</v>
      </c>
      <c r="U38" s="1">
        <v>0.98</v>
      </c>
      <c r="V38" s="1">
        <v>0</v>
      </c>
      <c r="W38" s="1">
        <v>0</v>
      </c>
      <c r="X38" s="1">
        <v>137</v>
      </c>
      <c r="Y38" s="1">
        <v>5</v>
      </c>
      <c r="Z38" s="1">
        <v>9</v>
      </c>
      <c r="AA38" s="1">
        <v>11</v>
      </c>
      <c r="AB38" s="18">
        <v>40</v>
      </c>
      <c r="AC38" s="18">
        <f t="shared" si="13"/>
        <v>40.742999999999995</v>
      </c>
      <c r="AD38" s="19">
        <f t="shared" si="14"/>
        <v>5.7153846153845771E-2</v>
      </c>
      <c r="AE38" s="20">
        <v>47</v>
      </c>
      <c r="AF38" s="20">
        <f t="shared" si="15"/>
        <v>31.311</v>
      </c>
      <c r="AG38" s="21">
        <f t="shared" si="6"/>
        <v>-0.9805625</v>
      </c>
      <c r="AH38" s="22">
        <v>133</v>
      </c>
      <c r="AI38" s="22">
        <f t="shared" si="16"/>
        <v>76.739999999999981</v>
      </c>
      <c r="AJ38" s="23">
        <f t="shared" si="7"/>
        <v>-1.278636363636364</v>
      </c>
      <c r="AK38" s="24">
        <v>63</v>
      </c>
      <c r="AL38" s="24">
        <f t="shared" si="17"/>
        <v>67.028999999999996</v>
      </c>
      <c r="AM38" s="26">
        <f t="shared" si="8"/>
        <v>0.22383333333333313</v>
      </c>
      <c r="AN38" s="28">
        <v>67</v>
      </c>
      <c r="AO38" s="28">
        <f t="shared" si="18"/>
        <v>88.891000000000005</v>
      </c>
      <c r="AP38" s="30">
        <f t="shared" si="9"/>
        <v>1.0945500000000004</v>
      </c>
      <c r="AQ38" s="3">
        <f t="shared" si="10"/>
        <v>-0.88366168414918467</v>
      </c>
      <c r="AR38" s="1" t="str">
        <f t="shared" si="11"/>
        <v>NO EHM</v>
      </c>
      <c r="AS38" s="34" t="str">
        <f t="shared" si="12"/>
        <v>SI</v>
      </c>
    </row>
    <row r="39" spans="1:45" x14ac:dyDescent="0.45">
      <c r="A39" s="10">
        <v>38</v>
      </c>
      <c r="B39" s="1">
        <v>2019</v>
      </c>
      <c r="C39" s="1" t="s">
        <v>12</v>
      </c>
      <c r="D39" s="1" t="s">
        <v>5</v>
      </c>
      <c r="E39" s="1">
        <v>58</v>
      </c>
      <c r="F39" s="1" t="s">
        <v>2</v>
      </c>
      <c r="G39" s="1">
        <v>3</v>
      </c>
      <c r="H39" s="1" t="s">
        <v>105</v>
      </c>
      <c r="I39" s="33" t="s">
        <v>105</v>
      </c>
      <c r="J39" s="33" t="s">
        <v>105</v>
      </c>
      <c r="K39" s="33" t="s">
        <v>105</v>
      </c>
      <c r="L39" s="33" t="s">
        <v>105</v>
      </c>
      <c r="M39" s="33" t="s">
        <v>105</v>
      </c>
      <c r="N39" s="33" t="s">
        <v>105</v>
      </c>
      <c r="O39" s="33" t="s">
        <v>105</v>
      </c>
      <c r="P39" s="1">
        <v>1</v>
      </c>
      <c r="Q39" s="1">
        <v>13</v>
      </c>
      <c r="R39" s="1">
        <v>1.28</v>
      </c>
      <c r="S39" s="1">
        <v>3.83</v>
      </c>
      <c r="T39" s="1">
        <v>0.66</v>
      </c>
      <c r="U39" s="1">
        <v>0.93</v>
      </c>
      <c r="V39" s="1">
        <v>0</v>
      </c>
      <c r="W39" s="1">
        <v>0</v>
      </c>
      <c r="X39" s="1">
        <v>140</v>
      </c>
      <c r="Y39" s="1">
        <v>5</v>
      </c>
      <c r="Z39" s="1">
        <v>9</v>
      </c>
      <c r="AA39" s="1">
        <v>9</v>
      </c>
      <c r="AB39" s="18">
        <v>21</v>
      </c>
      <c r="AC39" s="18">
        <f t="shared" si="13"/>
        <v>31.922999999999998</v>
      </c>
      <c r="AD39" s="19">
        <f t="shared" si="14"/>
        <v>0.84023076923076911</v>
      </c>
      <c r="AE39" s="20">
        <v>97</v>
      </c>
      <c r="AF39" s="20">
        <f t="shared" si="15"/>
        <v>38.975999999999992</v>
      </c>
      <c r="AG39" s="21">
        <f t="shared" si="6"/>
        <v>-3.6265000000000005</v>
      </c>
      <c r="AH39" s="22">
        <v>193</v>
      </c>
      <c r="AI39" s="22">
        <f t="shared" si="16"/>
        <v>96.521999999999991</v>
      </c>
      <c r="AJ39" s="23">
        <f t="shared" si="7"/>
        <v>-2.1926818181818182</v>
      </c>
      <c r="AK39" s="24">
        <v>80</v>
      </c>
      <c r="AL39" s="24">
        <f t="shared" si="17"/>
        <v>77.50800000000001</v>
      </c>
      <c r="AM39" s="26">
        <f t="shared" si="8"/>
        <v>-0.1384444444444439</v>
      </c>
      <c r="AN39" s="28">
        <v>94</v>
      </c>
      <c r="AO39" s="28">
        <f t="shared" si="18"/>
        <v>100.756</v>
      </c>
      <c r="AP39" s="30">
        <f t="shared" si="9"/>
        <v>0.33779999999999999</v>
      </c>
      <c r="AQ39" s="3">
        <f t="shared" si="10"/>
        <v>-4.7795954933954938</v>
      </c>
      <c r="AR39" s="1" t="str">
        <f t="shared" si="11"/>
        <v>EHM</v>
      </c>
      <c r="AS39" s="34" t="str">
        <f t="shared" si="12"/>
        <v>SI</v>
      </c>
    </row>
    <row r="40" spans="1:45" x14ac:dyDescent="0.45">
      <c r="A40" s="10">
        <v>39</v>
      </c>
      <c r="B40" s="1">
        <v>2019</v>
      </c>
      <c r="C40" s="1" t="s">
        <v>25</v>
      </c>
      <c r="D40" s="1" t="s">
        <v>1</v>
      </c>
      <c r="E40" s="1">
        <v>56</v>
      </c>
      <c r="F40" s="1" t="s">
        <v>2</v>
      </c>
      <c r="G40" s="1">
        <v>19</v>
      </c>
      <c r="H40" s="1" t="s">
        <v>105</v>
      </c>
      <c r="I40" s="33" t="s">
        <v>105</v>
      </c>
      <c r="J40" s="33" t="s">
        <v>105</v>
      </c>
      <c r="K40" s="33" t="s">
        <v>105</v>
      </c>
      <c r="L40" s="33" t="s">
        <v>105</v>
      </c>
      <c r="M40" s="33" t="s">
        <v>105</v>
      </c>
      <c r="N40" s="33" t="s">
        <v>105</v>
      </c>
      <c r="O40" s="33" t="s">
        <v>105</v>
      </c>
      <c r="P40" s="1">
        <v>0</v>
      </c>
      <c r="Q40" s="1">
        <v>18</v>
      </c>
      <c r="R40" s="1">
        <v>1.1000000000000001</v>
      </c>
      <c r="S40" s="1">
        <v>4.5999999999999996</v>
      </c>
      <c r="T40" s="1">
        <v>0.94</v>
      </c>
      <c r="U40" s="1">
        <v>1.3</v>
      </c>
      <c r="V40" s="1">
        <v>0</v>
      </c>
      <c r="W40" s="1">
        <v>0</v>
      </c>
      <c r="X40" s="1">
        <v>138</v>
      </c>
      <c r="Y40" s="1">
        <v>5</v>
      </c>
      <c r="Z40" s="1">
        <v>8</v>
      </c>
      <c r="AA40" s="1">
        <v>10</v>
      </c>
      <c r="AB40" s="18">
        <v>45</v>
      </c>
      <c r="AC40" s="18">
        <f t="shared" si="13"/>
        <v>39.417999999999992</v>
      </c>
      <c r="AD40" s="19">
        <f t="shared" si="14"/>
        <v>-0.42938461538461598</v>
      </c>
      <c r="AE40" s="20">
        <v>45</v>
      </c>
      <c r="AF40" s="20">
        <f t="shared" si="15"/>
        <v>29.705999999999996</v>
      </c>
      <c r="AG40" s="21">
        <f t="shared" si="6"/>
        <v>-0.95587500000000025</v>
      </c>
      <c r="AH40" s="22">
        <v>75</v>
      </c>
      <c r="AI40" s="22">
        <f t="shared" si="16"/>
        <v>70.698000000000008</v>
      </c>
      <c r="AJ40" s="23">
        <f t="shared" si="7"/>
        <v>-9.7772727272727109E-2</v>
      </c>
      <c r="AK40" s="24">
        <v>61</v>
      </c>
      <c r="AL40" s="24">
        <f t="shared" si="17"/>
        <v>70.319999999999993</v>
      </c>
      <c r="AM40" s="26">
        <f t="shared" si="8"/>
        <v>0.51777777777777745</v>
      </c>
      <c r="AN40" s="28">
        <v>67</v>
      </c>
      <c r="AO40" s="28">
        <f t="shared" si="18"/>
        <v>93.836000000000013</v>
      </c>
      <c r="AP40" s="30">
        <f t="shared" si="9"/>
        <v>1.3418000000000005</v>
      </c>
      <c r="AQ40" s="3">
        <f t="shared" si="10"/>
        <v>0.3765454351204347</v>
      </c>
      <c r="AR40" s="1" t="str">
        <f t="shared" si="11"/>
        <v>NO EHM</v>
      </c>
      <c r="AS40" s="34" t="str">
        <f t="shared" si="12"/>
        <v>NO</v>
      </c>
    </row>
    <row r="41" spans="1:45" x14ac:dyDescent="0.45">
      <c r="A41" s="10">
        <v>40</v>
      </c>
      <c r="B41" s="1">
        <v>2019</v>
      </c>
      <c r="C41" s="1" t="s">
        <v>32</v>
      </c>
      <c r="D41" s="1" t="s">
        <v>5</v>
      </c>
      <c r="E41" s="1">
        <v>61</v>
      </c>
      <c r="F41" s="1" t="s">
        <v>2</v>
      </c>
      <c r="G41" s="1">
        <v>22</v>
      </c>
      <c r="H41" s="1" t="s">
        <v>33</v>
      </c>
      <c r="I41" s="33" t="s">
        <v>105</v>
      </c>
      <c r="J41" s="33" t="s">
        <v>121</v>
      </c>
      <c r="K41" s="33" t="s">
        <v>123</v>
      </c>
      <c r="L41" s="33" t="s">
        <v>105</v>
      </c>
      <c r="M41" s="33" t="s">
        <v>105</v>
      </c>
      <c r="N41" s="33" t="s">
        <v>105</v>
      </c>
      <c r="O41" s="33" t="s">
        <v>105</v>
      </c>
      <c r="P41" s="1">
        <v>1</v>
      </c>
      <c r="Q41" s="1">
        <v>15</v>
      </c>
      <c r="R41" s="1">
        <v>2.14</v>
      </c>
      <c r="S41" s="1">
        <v>3.84</v>
      </c>
      <c r="T41" s="1">
        <v>0.6</v>
      </c>
      <c r="U41" s="1">
        <v>1.84</v>
      </c>
      <c r="V41" s="1">
        <v>0</v>
      </c>
      <c r="W41" s="1">
        <v>0</v>
      </c>
      <c r="X41" s="1">
        <v>136</v>
      </c>
      <c r="Y41" s="1">
        <v>6</v>
      </c>
      <c r="Z41" s="1">
        <v>18</v>
      </c>
      <c r="AA41" s="1">
        <v>20</v>
      </c>
      <c r="AB41" s="18">
        <v>32</v>
      </c>
      <c r="AC41" s="18">
        <f t="shared" si="13"/>
        <v>33.325000000000003</v>
      </c>
      <c r="AD41" s="19">
        <f t="shared" si="14"/>
        <v>0.10192307692307714</v>
      </c>
      <c r="AE41" s="20">
        <v>36</v>
      </c>
      <c r="AF41" s="20">
        <f t="shared" si="15"/>
        <v>36.655000000000001</v>
      </c>
      <c r="AG41" s="21">
        <f t="shared" si="6"/>
        <v>4.0937500000000071E-2</v>
      </c>
      <c r="AH41" s="22">
        <v>72</v>
      </c>
      <c r="AI41" s="22">
        <f t="shared" si="16"/>
        <v>89.771999999999977</v>
      </c>
      <c r="AJ41" s="23">
        <f t="shared" si="7"/>
        <v>0.40390909090909038</v>
      </c>
      <c r="AK41" s="24">
        <v>64</v>
      </c>
      <c r="AL41" s="24">
        <f t="shared" si="17"/>
        <v>76.528999999999996</v>
      </c>
      <c r="AM41" s="26">
        <f t="shared" si="8"/>
        <v>0.69605555555555532</v>
      </c>
      <c r="AN41" s="28">
        <v>59</v>
      </c>
      <c r="AO41" s="28">
        <f t="shared" si="18"/>
        <v>100.13499999999999</v>
      </c>
      <c r="AP41" s="30">
        <f t="shared" si="9"/>
        <v>2.0567499999999996</v>
      </c>
      <c r="AQ41" s="3">
        <f t="shared" si="10"/>
        <v>3.2995752233877225</v>
      </c>
      <c r="AR41" s="1" t="str">
        <f t="shared" si="11"/>
        <v>NO EHM</v>
      </c>
      <c r="AS41" s="34" t="str">
        <f t="shared" si="12"/>
        <v>SI</v>
      </c>
    </row>
    <row r="42" spans="1:45" x14ac:dyDescent="0.45">
      <c r="A42" s="10">
        <v>41</v>
      </c>
      <c r="B42" s="1">
        <v>2019</v>
      </c>
      <c r="C42" s="1" t="s">
        <v>32</v>
      </c>
      <c r="D42" s="1" t="s">
        <v>5</v>
      </c>
      <c r="E42" s="1">
        <v>50</v>
      </c>
      <c r="F42" s="1" t="s">
        <v>2</v>
      </c>
      <c r="G42" s="1">
        <v>6</v>
      </c>
      <c r="H42" s="1" t="s">
        <v>105</v>
      </c>
      <c r="I42" s="33" t="s">
        <v>105</v>
      </c>
      <c r="J42" s="4" t="s">
        <v>34</v>
      </c>
      <c r="K42" s="33" t="s">
        <v>105</v>
      </c>
      <c r="L42" s="33" t="s">
        <v>105</v>
      </c>
      <c r="M42" s="33" t="s">
        <v>105</v>
      </c>
      <c r="N42" s="33" t="s">
        <v>105</v>
      </c>
      <c r="O42" s="33" t="s">
        <v>105</v>
      </c>
      <c r="P42" s="1">
        <v>1</v>
      </c>
      <c r="Q42" s="1">
        <v>18</v>
      </c>
      <c r="R42" s="1">
        <v>1.21</v>
      </c>
      <c r="S42" s="1">
        <v>3.99</v>
      </c>
      <c r="T42" s="1">
        <v>0.57999999999999996</v>
      </c>
      <c r="U42" s="1">
        <v>1.1299999999999999</v>
      </c>
      <c r="V42" s="1">
        <v>0</v>
      </c>
      <c r="W42" s="1">
        <v>0</v>
      </c>
      <c r="X42" s="1">
        <v>140</v>
      </c>
      <c r="Y42" s="1">
        <v>5</v>
      </c>
      <c r="Z42" s="1">
        <v>9</v>
      </c>
      <c r="AA42" s="1">
        <v>9</v>
      </c>
      <c r="AB42" s="18">
        <v>32</v>
      </c>
      <c r="AC42" s="18">
        <f t="shared" si="13"/>
        <v>41.937999999999995</v>
      </c>
      <c r="AD42" s="19">
        <f t="shared" si="14"/>
        <v>0.76446153846153808</v>
      </c>
      <c r="AE42" s="20">
        <v>47</v>
      </c>
      <c r="AF42" s="20">
        <f t="shared" si="15"/>
        <v>27.515999999999998</v>
      </c>
      <c r="AG42" s="21">
        <f t="shared" si="6"/>
        <v>-1.2177500000000001</v>
      </c>
      <c r="AH42" s="22">
        <v>147</v>
      </c>
      <c r="AI42" s="22">
        <f t="shared" si="16"/>
        <v>65.045999999999992</v>
      </c>
      <c r="AJ42" s="23">
        <f t="shared" si="7"/>
        <v>-1.8625909090909092</v>
      </c>
      <c r="AK42" s="24">
        <v>61</v>
      </c>
      <c r="AL42" s="24">
        <f t="shared" si="17"/>
        <v>67.325999999999993</v>
      </c>
      <c r="AM42" s="26">
        <f t="shared" si="8"/>
        <v>0.35144444444444406</v>
      </c>
      <c r="AN42" s="28">
        <v>83</v>
      </c>
      <c r="AO42" s="28">
        <f t="shared" si="18"/>
        <v>90.446000000000012</v>
      </c>
      <c r="AP42" s="30">
        <f t="shared" si="9"/>
        <v>0.37230000000000063</v>
      </c>
      <c r="AQ42" s="3">
        <f t="shared" si="10"/>
        <v>-1.5921349261849267</v>
      </c>
      <c r="AR42" s="1" t="str">
        <f t="shared" si="11"/>
        <v>NO EHM</v>
      </c>
      <c r="AS42" s="34" t="str">
        <f t="shared" si="12"/>
        <v>SI</v>
      </c>
    </row>
    <row r="43" spans="1:45" x14ac:dyDescent="0.45">
      <c r="A43" s="10">
        <v>42</v>
      </c>
      <c r="B43" s="1">
        <v>2019</v>
      </c>
      <c r="C43" s="1" t="s">
        <v>4</v>
      </c>
      <c r="D43" s="1" t="s">
        <v>5</v>
      </c>
      <c r="E43" s="1">
        <v>50</v>
      </c>
      <c r="F43" s="1" t="s">
        <v>35</v>
      </c>
      <c r="G43" s="1">
        <v>6</v>
      </c>
      <c r="H43" s="1" t="s">
        <v>105</v>
      </c>
      <c r="I43" s="33" t="s">
        <v>105</v>
      </c>
      <c r="J43" s="33" t="s">
        <v>37</v>
      </c>
      <c r="K43" s="33" t="s">
        <v>113</v>
      </c>
      <c r="L43" s="33" t="s">
        <v>124</v>
      </c>
      <c r="M43" s="33" t="s">
        <v>24</v>
      </c>
      <c r="N43" s="33" t="s">
        <v>105</v>
      </c>
      <c r="O43" s="33" t="s">
        <v>105</v>
      </c>
      <c r="P43" s="1">
        <v>0</v>
      </c>
      <c r="Q43" s="1">
        <v>13</v>
      </c>
      <c r="R43" s="1">
        <v>1.3</v>
      </c>
      <c r="S43" s="1">
        <v>3.75</v>
      </c>
      <c r="T43" s="1">
        <v>0.72</v>
      </c>
      <c r="U43" s="1">
        <v>0.63</v>
      </c>
      <c r="V43" s="1">
        <v>0</v>
      </c>
      <c r="W43" s="1">
        <v>0</v>
      </c>
      <c r="X43" s="1">
        <v>141</v>
      </c>
      <c r="Y43" s="1">
        <v>5</v>
      </c>
      <c r="Z43" s="1">
        <v>9</v>
      </c>
      <c r="AA43" s="1">
        <v>9</v>
      </c>
      <c r="AB43" s="18">
        <v>42</v>
      </c>
      <c r="AC43" s="18">
        <f t="shared" si="13"/>
        <v>35.283000000000001</v>
      </c>
      <c r="AD43" s="19">
        <f t="shared" si="14"/>
        <v>-0.51669230769230756</v>
      </c>
      <c r="AE43" s="20">
        <v>36</v>
      </c>
      <c r="AF43" s="20">
        <f t="shared" si="15"/>
        <v>36.055999999999997</v>
      </c>
      <c r="AG43" s="21">
        <f t="shared" si="6"/>
        <v>3.4999999999998366E-3</v>
      </c>
      <c r="AH43" s="22">
        <v>132</v>
      </c>
      <c r="AI43" s="22">
        <f t="shared" si="16"/>
        <v>88.98599999999999</v>
      </c>
      <c r="AJ43" s="23">
        <f t="shared" si="7"/>
        <v>-0.97759090909090929</v>
      </c>
      <c r="AK43" s="24">
        <v>70</v>
      </c>
      <c r="AL43" s="24">
        <f t="shared" si="17"/>
        <v>73.515999999999991</v>
      </c>
      <c r="AM43" s="26">
        <f t="shared" si="8"/>
        <v>0.19533333333333283</v>
      </c>
      <c r="AN43" s="28">
        <v>86</v>
      </c>
      <c r="AO43" s="28">
        <f t="shared" si="18"/>
        <v>96.236000000000004</v>
      </c>
      <c r="AP43" s="30">
        <f t="shared" si="9"/>
        <v>0.51180000000000025</v>
      </c>
      <c r="AQ43" s="3">
        <f t="shared" si="10"/>
        <v>-0.78364988344988395</v>
      </c>
      <c r="AR43" s="1" t="str">
        <f t="shared" si="11"/>
        <v>NO EHM</v>
      </c>
      <c r="AS43" s="34" t="str">
        <f t="shared" si="12"/>
        <v>NO</v>
      </c>
    </row>
    <row r="44" spans="1:45" x14ac:dyDescent="0.45">
      <c r="A44" s="10">
        <v>43</v>
      </c>
      <c r="B44" s="1">
        <v>2020</v>
      </c>
      <c r="C44" s="1" t="s">
        <v>36</v>
      </c>
      <c r="D44" s="1" t="s">
        <v>1</v>
      </c>
      <c r="E44" s="1">
        <v>39</v>
      </c>
      <c r="F44" s="1" t="s">
        <v>11</v>
      </c>
      <c r="G44" s="1">
        <v>7</v>
      </c>
      <c r="H44" s="1" t="s">
        <v>105</v>
      </c>
      <c r="I44" s="33" t="s">
        <v>105</v>
      </c>
      <c r="J44" s="4" t="s">
        <v>37</v>
      </c>
      <c r="K44" s="33" t="s">
        <v>105</v>
      </c>
      <c r="L44" s="33" t="s">
        <v>105</v>
      </c>
      <c r="M44" s="33" t="s">
        <v>105</v>
      </c>
      <c r="N44" s="33" t="s">
        <v>105</v>
      </c>
      <c r="O44" s="33" t="s">
        <v>105</v>
      </c>
      <c r="P44" s="1">
        <v>0</v>
      </c>
      <c r="Q44" s="1">
        <v>11</v>
      </c>
      <c r="R44" s="1">
        <v>2.2000000000000002</v>
      </c>
      <c r="S44" s="1">
        <v>3.61</v>
      </c>
      <c r="T44" s="1">
        <v>0.94</v>
      </c>
      <c r="U44" s="1">
        <v>3.95</v>
      </c>
      <c r="V44" s="1">
        <v>0</v>
      </c>
      <c r="W44" s="1">
        <v>0</v>
      </c>
      <c r="X44" s="1">
        <v>136</v>
      </c>
      <c r="Y44" s="1">
        <v>8</v>
      </c>
      <c r="Z44" s="1">
        <v>21</v>
      </c>
      <c r="AA44" s="1">
        <v>22</v>
      </c>
      <c r="AB44" s="18">
        <v>32</v>
      </c>
      <c r="AC44" s="18">
        <f t="shared" si="13"/>
        <v>37.241</v>
      </c>
      <c r="AD44" s="19">
        <f t="shared" si="14"/>
        <v>0.40315384615384614</v>
      </c>
      <c r="AE44" s="20">
        <v>51</v>
      </c>
      <c r="AF44" s="20">
        <f t="shared" si="15"/>
        <v>35.456999999999994</v>
      </c>
      <c r="AG44" s="21">
        <f t="shared" si="6"/>
        <v>-0.9714375000000004</v>
      </c>
      <c r="AH44" s="22">
        <v>171</v>
      </c>
      <c r="AI44" s="22">
        <f t="shared" si="16"/>
        <v>88.199999999999989</v>
      </c>
      <c r="AJ44" s="23">
        <f t="shared" si="7"/>
        <v>-1.8818181818181821</v>
      </c>
      <c r="AK44" s="24">
        <v>66</v>
      </c>
      <c r="AL44" s="24">
        <f t="shared" si="17"/>
        <v>70.503</v>
      </c>
      <c r="AM44" s="26">
        <f t="shared" si="8"/>
        <v>0.25016666666666665</v>
      </c>
      <c r="AN44" s="28">
        <v>66</v>
      </c>
      <c r="AO44" s="28">
        <f t="shared" si="18"/>
        <v>92.337000000000003</v>
      </c>
      <c r="AP44" s="30">
        <f t="shared" si="9"/>
        <v>1.3168500000000001</v>
      </c>
      <c r="AQ44" s="3">
        <f t="shared" si="10"/>
        <v>-0.88308516899766909</v>
      </c>
      <c r="AR44" s="1" t="str">
        <f t="shared" si="11"/>
        <v>NO EHM</v>
      </c>
      <c r="AS44" s="34" t="str">
        <f t="shared" si="12"/>
        <v>NO</v>
      </c>
    </row>
    <row r="45" spans="1:45" x14ac:dyDescent="0.45">
      <c r="A45" s="10">
        <v>44</v>
      </c>
      <c r="B45" s="1">
        <v>2020</v>
      </c>
      <c r="C45" s="1" t="s">
        <v>38</v>
      </c>
      <c r="D45" s="1" t="s">
        <v>5</v>
      </c>
      <c r="E45" s="1">
        <v>36</v>
      </c>
      <c r="F45" s="1" t="s">
        <v>39</v>
      </c>
      <c r="G45" s="1">
        <v>36</v>
      </c>
      <c r="H45" s="1" t="s">
        <v>105</v>
      </c>
      <c r="I45" s="33" t="s">
        <v>105</v>
      </c>
      <c r="J45" s="33" t="s">
        <v>37</v>
      </c>
      <c r="K45" s="33" t="s">
        <v>125</v>
      </c>
      <c r="L45" s="33" t="s">
        <v>24</v>
      </c>
      <c r="M45" s="33" t="s">
        <v>105</v>
      </c>
      <c r="N45" s="33" t="s">
        <v>105</v>
      </c>
      <c r="O45" s="33" t="s">
        <v>105</v>
      </c>
      <c r="P45" s="1">
        <v>0</v>
      </c>
      <c r="Q45" s="1">
        <v>15</v>
      </c>
      <c r="R45" s="1">
        <v>0.94</v>
      </c>
      <c r="S45" s="1">
        <v>3.66</v>
      </c>
      <c r="T45" s="1">
        <v>0.68</v>
      </c>
      <c r="U45" s="1">
        <v>2.67</v>
      </c>
      <c r="V45" s="1">
        <v>0</v>
      </c>
      <c r="W45" s="1">
        <v>0</v>
      </c>
      <c r="X45" s="1">
        <v>143</v>
      </c>
      <c r="Y45" s="1">
        <v>7</v>
      </c>
      <c r="Z45" s="1">
        <v>10</v>
      </c>
      <c r="AA45" s="1">
        <v>10</v>
      </c>
      <c r="AB45" s="18">
        <v>38</v>
      </c>
      <c r="AC45" s="18">
        <f t="shared" si="13"/>
        <v>43.825000000000003</v>
      </c>
      <c r="AD45" s="19">
        <f t="shared" si="14"/>
        <v>0.44807692307692332</v>
      </c>
      <c r="AE45" s="20">
        <v>45</v>
      </c>
      <c r="AF45" s="20">
        <f t="shared" si="15"/>
        <v>27.529999999999998</v>
      </c>
      <c r="AG45" s="21">
        <f t="shared" si="6"/>
        <v>-1.0918750000000002</v>
      </c>
      <c r="AH45" s="22">
        <v>76</v>
      </c>
      <c r="AI45" s="22">
        <f t="shared" si="16"/>
        <v>66.221999999999994</v>
      </c>
      <c r="AJ45" s="23">
        <f t="shared" si="7"/>
        <v>-0.22222727272727286</v>
      </c>
      <c r="AK45" s="24">
        <v>81</v>
      </c>
      <c r="AL45" s="24">
        <f t="shared" si="17"/>
        <v>64.054000000000002</v>
      </c>
      <c r="AM45" s="26">
        <f t="shared" si="8"/>
        <v>-0.94144444444444431</v>
      </c>
      <c r="AN45" s="28">
        <v>72</v>
      </c>
      <c r="AO45" s="28">
        <f t="shared" si="18"/>
        <v>86.009999999999991</v>
      </c>
      <c r="AP45" s="30">
        <f t="shared" si="9"/>
        <v>0.70049999999999957</v>
      </c>
      <c r="AQ45" s="3">
        <f t="shared" si="10"/>
        <v>-1.1069697940947947</v>
      </c>
      <c r="AR45" s="1" t="str">
        <f t="shared" si="11"/>
        <v>NO EHM</v>
      </c>
      <c r="AS45" s="34" t="str">
        <f t="shared" si="12"/>
        <v>NO</v>
      </c>
    </row>
    <row r="46" spans="1:45" x14ac:dyDescent="0.45">
      <c r="A46" s="10">
        <v>45</v>
      </c>
      <c r="B46" s="1">
        <v>2020</v>
      </c>
      <c r="C46" s="1" t="s">
        <v>38</v>
      </c>
      <c r="D46" s="1" t="s">
        <v>1</v>
      </c>
      <c r="E46" s="1">
        <v>56</v>
      </c>
      <c r="F46" s="1" t="s">
        <v>27</v>
      </c>
      <c r="G46" s="1">
        <v>2</v>
      </c>
      <c r="H46" s="1" t="s">
        <v>105</v>
      </c>
      <c r="I46" s="33" t="s">
        <v>105</v>
      </c>
      <c r="J46" s="4" t="s">
        <v>40</v>
      </c>
      <c r="K46" s="33" t="s">
        <v>105</v>
      </c>
      <c r="L46" s="33" t="s">
        <v>105</v>
      </c>
      <c r="M46" s="33" t="s">
        <v>105</v>
      </c>
      <c r="N46" s="33" t="s">
        <v>105</v>
      </c>
      <c r="O46" s="33" t="s">
        <v>105</v>
      </c>
      <c r="P46" s="1">
        <v>0</v>
      </c>
      <c r="Q46" s="1">
        <v>14</v>
      </c>
      <c r="R46" s="1">
        <v>1.37</v>
      </c>
      <c r="S46" s="1">
        <v>4.13</v>
      </c>
      <c r="T46" s="1">
        <v>1.1599999999999999</v>
      </c>
      <c r="U46" s="1">
        <v>4.25</v>
      </c>
      <c r="V46" s="1">
        <v>0</v>
      </c>
      <c r="W46" s="1">
        <v>0</v>
      </c>
      <c r="X46" s="1">
        <v>135</v>
      </c>
      <c r="Y46" s="1">
        <v>7</v>
      </c>
      <c r="Z46" s="1">
        <v>19</v>
      </c>
      <c r="AA46" s="1">
        <v>20</v>
      </c>
      <c r="AB46" s="18">
        <v>46</v>
      </c>
      <c r="AC46" s="18">
        <f t="shared" si="13"/>
        <v>34.093999999999994</v>
      </c>
      <c r="AD46" s="19">
        <f t="shared" si="14"/>
        <v>-0.91584615384615431</v>
      </c>
      <c r="AE46" s="20">
        <v>43</v>
      </c>
      <c r="AF46" s="20">
        <f t="shared" si="15"/>
        <v>36.537999999999997</v>
      </c>
      <c r="AG46" s="21">
        <f t="shared" si="6"/>
        <v>-0.40387500000000021</v>
      </c>
      <c r="AH46" s="22">
        <v>76</v>
      </c>
      <c r="AI46" s="22">
        <f t="shared" si="16"/>
        <v>89.85</v>
      </c>
      <c r="AJ46" s="23">
        <f t="shared" si="7"/>
        <v>0.31477272727272715</v>
      </c>
      <c r="AK46" s="24">
        <v>92</v>
      </c>
      <c r="AL46" s="24">
        <f t="shared" si="17"/>
        <v>75.271999999999991</v>
      </c>
      <c r="AM46" s="26">
        <f t="shared" si="8"/>
        <v>-0.92933333333333379</v>
      </c>
      <c r="AN46" s="28">
        <v>94</v>
      </c>
      <c r="AO46" s="28">
        <f t="shared" si="18"/>
        <v>98.468000000000004</v>
      </c>
      <c r="AP46" s="30">
        <f t="shared" si="9"/>
        <v>0.22340000000000018</v>
      </c>
      <c r="AQ46" s="3">
        <f t="shared" si="10"/>
        <v>-1.7108817599067607</v>
      </c>
      <c r="AR46" s="1" t="str">
        <f t="shared" si="11"/>
        <v>NO EHM</v>
      </c>
      <c r="AS46" s="34" t="str">
        <f t="shared" si="12"/>
        <v>NO</v>
      </c>
    </row>
    <row r="47" spans="1:45" x14ac:dyDescent="0.45">
      <c r="A47" s="10">
        <v>46</v>
      </c>
      <c r="B47" s="1">
        <v>2021</v>
      </c>
      <c r="C47" s="1" t="s">
        <v>41</v>
      </c>
      <c r="D47" s="1" t="s">
        <v>5</v>
      </c>
      <c r="E47" s="1">
        <v>62</v>
      </c>
      <c r="F47" s="1" t="s">
        <v>2</v>
      </c>
      <c r="G47" s="1">
        <v>36</v>
      </c>
      <c r="H47" s="33" t="s">
        <v>3</v>
      </c>
      <c r="I47" s="33" t="s">
        <v>47</v>
      </c>
      <c r="J47" s="33" t="s">
        <v>115</v>
      </c>
      <c r="K47" s="33" t="s">
        <v>126</v>
      </c>
      <c r="L47" s="33" t="s">
        <v>112</v>
      </c>
      <c r="M47" s="33" t="s">
        <v>127</v>
      </c>
      <c r="N47" s="33" t="s">
        <v>105</v>
      </c>
      <c r="O47" s="33" t="s">
        <v>105</v>
      </c>
      <c r="P47" s="1">
        <v>0</v>
      </c>
      <c r="Q47" s="1">
        <v>14</v>
      </c>
      <c r="R47" s="1">
        <v>0.92</v>
      </c>
      <c r="S47" s="1">
        <v>4.2300000000000004</v>
      </c>
      <c r="T47" s="1">
        <v>0.52</v>
      </c>
      <c r="U47" s="1">
        <v>1</v>
      </c>
      <c r="V47" s="1">
        <v>0</v>
      </c>
      <c r="W47" s="1">
        <v>0</v>
      </c>
      <c r="X47" s="1">
        <v>139</v>
      </c>
      <c r="Y47" s="1">
        <v>5</v>
      </c>
      <c r="Z47" s="1">
        <v>6</v>
      </c>
      <c r="AA47" s="1">
        <v>7</v>
      </c>
      <c r="AB47" s="18">
        <v>30</v>
      </c>
      <c r="AC47" s="18">
        <f t="shared" si="13"/>
        <v>31.573999999999998</v>
      </c>
      <c r="AD47" s="19">
        <f t="shared" si="14"/>
        <v>0.12107692307692293</v>
      </c>
      <c r="AE47" s="20">
        <v>67</v>
      </c>
      <c r="AF47" s="20">
        <f t="shared" si="15"/>
        <v>38.728000000000002</v>
      </c>
      <c r="AG47" s="21">
        <f t="shared" si="6"/>
        <v>-1.7669999999999999</v>
      </c>
      <c r="AH47" s="22">
        <v>143</v>
      </c>
      <c r="AI47" s="22">
        <f t="shared" si="16"/>
        <v>95.501999999999981</v>
      </c>
      <c r="AJ47" s="23">
        <f t="shared" si="7"/>
        <v>-1.0795000000000003</v>
      </c>
      <c r="AK47" s="24">
        <v>105</v>
      </c>
      <c r="AL47" s="24">
        <f t="shared" si="17"/>
        <v>78.265999999999991</v>
      </c>
      <c r="AM47" s="26">
        <f t="shared" si="8"/>
        <v>-1.4852222222222227</v>
      </c>
      <c r="AN47" s="28">
        <v>86</v>
      </c>
      <c r="AO47" s="28">
        <f t="shared" si="18"/>
        <v>101.85799999999999</v>
      </c>
      <c r="AP47" s="30">
        <f t="shared" si="9"/>
        <v>0.79289999999999949</v>
      </c>
      <c r="AQ47" s="3">
        <f t="shared" si="10"/>
        <v>-3.4177452991453006</v>
      </c>
      <c r="AR47" s="1" t="str">
        <f t="shared" si="11"/>
        <v>NO EHM</v>
      </c>
      <c r="AS47" s="34" t="str">
        <f t="shared" si="12"/>
        <v>NO</v>
      </c>
    </row>
    <row r="48" spans="1:45" x14ac:dyDescent="0.45">
      <c r="A48" s="10">
        <v>47</v>
      </c>
      <c r="B48" s="1">
        <v>2021</v>
      </c>
      <c r="C48" s="1" t="s">
        <v>129</v>
      </c>
      <c r="D48" s="1" t="s">
        <v>1</v>
      </c>
      <c r="E48" s="1">
        <v>52</v>
      </c>
      <c r="F48" s="1" t="s">
        <v>2</v>
      </c>
      <c r="G48" s="1">
        <v>3</v>
      </c>
      <c r="H48" s="1" t="s">
        <v>105</v>
      </c>
      <c r="I48" s="33" t="s">
        <v>105</v>
      </c>
      <c r="J48" s="4" t="s">
        <v>34</v>
      </c>
      <c r="K48" s="33" t="s">
        <v>105</v>
      </c>
      <c r="L48" s="33" t="s">
        <v>105</v>
      </c>
      <c r="M48" s="33" t="s">
        <v>105</v>
      </c>
      <c r="N48" s="33" t="s">
        <v>105</v>
      </c>
      <c r="O48" s="33" t="s">
        <v>105</v>
      </c>
      <c r="P48" s="1">
        <v>0</v>
      </c>
      <c r="Q48" s="1">
        <v>17</v>
      </c>
      <c r="R48" s="1">
        <v>1.68</v>
      </c>
      <c r="S48" s="1">
        <v>3.14</v>
      </c>
      <c r="T48" s="1">
        <v>0.66</v>
      </c>
      <c r="U48" s="1">
        <v>1.85</v>
      </c>
      <c r="V48" s="1">
        <v>0</v>
      </c>
      <c r="W48" s="1">
        <v>0</v>
      </c>
      <c r="X48" s="1">
        <v>141</v>
      </c>
      <c r="Y48" s="1">
        <v>6</v>
      </c>
      <c r="Z48" s="1">
        <v>15</v>
      </c>
      <c r="AA48" s="1">
        <v>15</v>
      </c>
      <c r="AB48" s="18">
        <v>33</v>
      </c>
      <c r="AC48" s="18">
        <f t="shared" si="13"/>
        <v>39.766999999999996</v>
      </c>
      <c r="AD48" s="19">
        <f t="shared" si="14"/>
        <v>0.52053846153846117</v>
      </c>
      <c r="AE48" s="20">
        <v>45</v>
      </c>
      <c r="AF48" s="20">
        <f t="shared" si="15"/>
        <v>29.953999999999997</v>
      </c>
      <c r="AG48" s="21">
        <f t="shared" si="6"/>
        <v>-0.94037500000000018</v>
      </c>
      <c r="AH48" s="22">
        <v>141</v>
      </c>
      <c r="AI48" s="22">
        <f t="shared" si="16"/>
        <v>71.717999999999975</v>
      </c>
      <c r="AJ48" s="23">
        <f t="shared" si="7"/>
        <v>-1.5745909090909096</v>
      </c>
      <c r="AK48" s="24">
        <v>78</v>
      </c>
      <c r="AL48" s="24">
        <f t="shared" si="17"/>
        <v>69.562000000000012</v>
      </c>
      <c r="AM48" s="26">
        <f t="shared" si="8"/>
        <v>-0.46877777777777713</v>
      </c>
      <c r="AN48" s="28">
        <v>100</v>
      </c>
      <c r="AO48" s="28">
        <f t="shared" si="18"/>
        <v>92.734000000000009</v>
      </c>
      <c r="AP48" s="30">
        <f t="shared" si="9"/>
        <v>-0.36329999999999957</v>
      </c>
      <c r="AQ48" s="3">
        <f t="shared" si="10"/>
        <v>-2.8265052253302256</v>
      </c>
      <c r="AR48" s="1" t="str">
        <f t="shared" si="11"/>
        <v>NO EHM</v>
      </c>
      <c r="AS48" s="34" t="str">
        <f t="shared" si="12"/>
        <v>NO</v>
      </c>
    </row>
    <row r="49" spans="1:45" x14ac:dyDescent="0.45">
      <c r="A49" s="10">
        <v>48</v>
      </c>
      <c r="B49" s="1">
        <v>2021</v>
      </c>
      <c r="C49" s="1" t="s">
        <v>38</v>
      </c>
      <c r="D49" s="1" t="s">
        <v>1</v>
      </c>
      <c r="E49" s="1">
        <v>64</v>
      </c>
      <c r="F49" s="1" t="s">
        <v>2</v>
      </c>
      <c r="G49" s="1">
        <v>24</v>
      </c>
      <c r="H49" s="1" t="s">
        <v>105</v>
      </c>
      <c r="I49" s="33" t="s">
        <v>105</v>
      </c>
      <c r="J49" s="4" t="s">
        <v>34</v>
      </c>
      <c r="K49" s="33" t="s">
        <v>105</v>
      </c>
      <c r="L49" s="33" t="s">
        <v>105</v>
      </c>
      <c r="M49" s="33" t="s">
        <v>105</v>
      </c>
      <c r="N49" s="33" t="s">
        <v>105</v>
      </c>
      <c r="O49" s="33" t="s">
        <v>105</v>
      </c>
      <c r="P49" s="1">
        <v>2</v>
      </c>
      <c r="Q49" s="1">
        <v>11</v>
      </c>
      <c r="R49" s="1">
        <v>1.38</v>
      </c>
      <c r="S49" s="1">
        <v>4.18</v>
      </c>
      <c r="T49" s="1">
        <v>0.84</v>
      </c>
      <c r="U49" s="1">
        <v>1.52</v>
      </c>
      <c r="V49" s="1">
        <v>0</v>
      </c>
      <c r="W49" s="1">
        <v>0</v>
      </c>
      <c r="X49" s="1">
        <v>141</v>
      </c>
      <c r="Y49" s="1">
        <v>5</v>
      </c>
      <c r="Z49" s="1">
        <v>12</v>
      </c>
      <c r="AA49" s="1">
        <v>12</v>
      </c>
      <c r="AB49" s="18">
        <v>14</v>
      </c>
      <c r="AC49" s="18">
        <f t="shared" si="13"/>
        <v>26.741</v>
      </c>
      <c r="AD49" s="19">
        <f t="shared" si="14"/>
        <v>0.98007692307692307</v>
      </c>
      <c r="AE49" s="20">
        <v>84</v>
      </c>
      <c r="AF49" s="20">
        <f t="shared" si="15"/>
        <v>44.581999999999994</v>
      </c>
      <c r="AG49" s="21">
        <f t="shared" si="6"/>
        <v>-2.4636250000000004</v>
      </c>
      <c r="AH49" s="22">
        <v>295</v>
      </c>
      <c r="AI49" s="22">
        <f t="shared" si="16"/>
        <v>111.75</v>
      </c>
      <c r="AJ49" s="23">
        <f t="shared" si="7"/>
        <v>-4.1647727272727275</v>
      </c>
      <c r="AK49" s="24">
        <v>122</v>
      </c>
      <c r="AL49" s="24">
        <f t="shared" si="17"/>
        <v>82.978000000000009</v>
      </c>
      <c r="AM49" s="26">
        <f t="shared" si="8"/>
        <v>-2.1678888888888883</v>
      </c>
      <c r="AN49" s="28">
        <v>69</v>
      </c>
      <c r="AO49" s="28">
        <f t="shared" si="18"/>
        <v>106.462</v>
      </c>
      <c r="AP49" s="30">
        <f t="shared" si="9"/>
        <v>1.8731000000000002</v>
      </c>
      <c r="AQ49" s="3">
        <f t="shared" si="10"/>
        <v>-5.9431096930846934</v>
      </c>
      <c r="AR49" s="1" t="str">
        <f t="shared" si="11"/>
        <v>EHM</v>
      </c>
      <c r="AS49" s="34" t="str">
        <f t="shared" si="12"/>
        <v>SI</v>
      </c>
    </row>
    <row r="50" spans="1:45" x14ac:dyDescent="0.45">
      <c r="A50" s="10">
        <v>49</v>
      </c>
      <c r="B50" s="1">
        <v>2021</v>
      </c>
      <c r="C50" s="1" t="s">
        <v>4</v>
      </c>
      <c r="D50" s="1" t="s">
        <v>5</v>
      </c>
      <c r="E50" s="1">
        <v>64</v>
      </c>
      <c r="F50" s="1" t="s">
        <v>2</v>
      </c>
      <c r="G50" s="1">
        <v>36</v>
      </c>
      <c r="H50" s="1" t="s">
        <v>105</v>
      </c>
      <c r="I50" s="33" t="s">
        <v>105</v>
      </c>
      <c r="J50" s="33" t="s">
        <v>105</v>
      </c>
      <c r="K50" s="33" t="s">
        <v>105</v>
      </c>
      <c r="L50" s="33" t="s">
        <v>105</v>
      </c>
      <c r="M50" s="33" t="s">
        <v>105</v>
      </c>
      <c r="N50" s="33" t="s">
        <v>105</v>
      </c>
      <c r="O50" s="33" t="s">
        <v>105</v>
      </c>
      <c r="P50" s="1">
        <v>0</v>
      </c>
      <c r="Q50" s="1">
        <v>11</v>
      </c>
      <c r="R50" s="1">
        <v>1.1000000000000001</v>
      </c>
      <c r="S50" s="1">
        <v>3.5</v>
      </c>
      <c r="T50" s="1">
        <v>0.4</v>
      </c>
      <c r="U50" s="1">
        <v>1.3</v>
      </c>
      <c r="V50" s="1">
        <v>0</v>
      </c>
      <c r="W50" s="1">
        <v>0</v>
      </c>
      <c r="X50" s="1">
        <v>145</v>
      </c>
      <c r="Y50" s="1">
        <v>5</v>
      </c>
      <c r="Z50" s="1">
        <v>8</v>
      </c>
      <c r="AA50" s="1">
        <v>8</v>
      </c>
      <c r="AB50" s="18">
        <v>8</v>
      </c>
      <c r="AC50" s="18">
        <f t="shared" si="13"/>
        <v>26.741</v>
      </c>
      <c r="AD50" s="19">
        <f t="shared" si="14"/>
        <v>1.4416153846153845</v>
      </c>
      <c r="AE50" s="20">
        <v>111</v>
      </c>
      <c r="AF50" s="20">
        <f t="shared" si="15"/>
        <v>44.581999999999994</v>
      </c>
      <c r="AG50" s="21">
        <f t="shared" si="6"/>
        <v>-4.1511250000000004</v>
      </c>
      <c r="AH50" s="22">
        <v>276</v>
      </c>
      <c r="AI50" s="22">
        <f t="shared" si="16"/>
        <v>111.75</v>
      </c>
      <c r="AJ50" s="23">
        <f t="shared" si="7"/>
        <v>-3.7329545454545454</v>
      </c>
      <c r="AK50" s="24">
        <v>62</v>
      </c>
      <c r="AL50" s="24">
        <f t="shared" si="17"/>
        <v>82.978000000000009</v>
      </c>
      <c r="AM50" s="26">
        <f t="shared" si="8"/>
        <v>1.1654444444444449</v>
      </c>
      <c r="AN50" s="28">
        <v>138</v>
      </c>
      <c r="AO50" s="28">
        <f t="shared" si="18"/>
        <v>106.462</v>
      </c>
      <c r="AP50" s="30">
        <f t="shared" si="9"/>
        <v>-1.5768999999999997</v>
      </c>
      <c r="AQ50" s="32">
        <f t="shared" si="10"/>
        <v>-6.8539197163947172</v>
      </c>
      <c r="AR50" s="1" t="str">
        <f t="shared" si="11"/>
        <v>EHM</v>
      </c>
      <c r="AS50" s="34" t="str">
        <f t="shared" si="12"/>
        <v>NO</v>
      </c>
    </row>
    <row r="51" spans="1:45" x14ac:dyDescent="0.45">
      <c r="A51" s="10">
        <v>50</v>
      </c>
      <c r="B51" s="1">
        <v>2022</v>
      </c>
      <c r="C51" s="1" t="s">
        <v>25</v>
      </c>
      <c r="D51" s="1" t="s">
        <v>1</v>
      </c>
      <c r="E51" s="1">
        <v>50</v>
      </c>
      <c r="F51" s="1" t="s">
        <v>42</v>
      </c>
      <c r="G51" s="1">
        <v>5</v>
      </c>
      <c r="H51" s="1" t="s">
        <v>105</v>
      </c>
      <c r="I51" s="33" t="s">
        <v>105</v>
      </c>
      <c r="J51" s="4" t="s">
        <v>43</v>
      </c>
      <c r="K51" s="33" t="s">
        <v>105</v>
      </c>
      <c r="L51" s="33" t="s">
        <v>105</v>
      </c>
      <c r="M51" s="33" t="s">
        <v>105</v>
      </c>
      <c r="N51" s="33" t="s">
        <v>105</v>
      </c>
      <c r="O51" s="33" t="s">
        <v>105</v>
      </c>
      <c r="P51" s="1">
        <v>3</v>
      </c>
      <c r="Q51" s="1">
        <v>17</v>
      </c>
      <c r="R51" s="1">
        <v>1.2</v>
      </c>
      <c r="S51" s="1">
        <v>4.4000000000000004</v>
      </c>
      <c r="T51" s="1">
        <v>0.7</v>
      </c>
      <c r="U51" s="1">
        <v>0.6</v>
      </c>
      <c r="V51" s="1">
        <v>0</v>
      </c>
      <c r="W51" s="1">
        <v>0</v>
      </c>
      <c r="X51" s="1">
        <v>139</v>
      </c>
      <c r="Y51" s="1">
        <v>5</v>
      </c>
      <c r="Z51" s="1">
        <v>9</v>
      </c>
      <c r="AA51" s="1">
        <v>9</v>
      </c>
      <c r="AB51" s="18">
        <v>40</v>
      </c>
      <c r="AC51" s="18">
        <f t="shared" si="13"/>
        <v>40.606999999999999</v>
      </c>
      <c r="AD51" s="19">
        <f t="shared" si="14"/>
        <v>4.6692307692307637E-2</v>
      </c>
      <c r="AE51" s="20">
        <v>35</v>
      </c>
      <c r="AF51" s="20">
        <f t="shared" si="15"/>
        <v>29.224</v>
      </c>
      <c r="AG51" s="21">
        <f t="shared" si="6"/>
        <v>-0.36099999999999999</v>
      </c>
      <c r="AH51" s="22">
        <v>55</v>
      </c>
      <c r="AI51" s="22">
        <f t="shared" si="16"/>
        <v>69.833999999999989</v>
      </c>
      <c r="AJ51" s="23">
        <f t="shared" si="7"/>
        <v>0.3371363636363634</v>
      </c>
      <c r="AK51" s="24">
        <v>104</v>
      </c>
      <c r="AL51" s="24">
        <f t="shared" si="17"/>
        <v>68.563999999999993</v>
      </c>
      <c r="AM51" s="26">
        <f t="shared" si="8"/>
        <v>-1.968666666666667</v>
      </c>
      <c r="AN51" s="28">
        <v>49</v>
      </c>
      <c r="AO51" s="28">
        <f t="shared" si="18"/>
        <v>91.604000000000013</v>
      </c>
      <c r="AP51" s="30">
        <f t="shared" si="9"/>
        <v>2.1302000000000008</v>
      </c>
      <c r="AQ51" s="32">
        <f t="shared" si="10"/>
        <v>0.1843620046620047</v>
      </c>
      <c r="AR51" s="1" t="str">
        <f t="shared" si="11"/>
        <v>NO EHM</v>
      </c>
      <c r="AS51" s="34" t="str">
        <f t="shared" si="12"/>
        <v>SI</v>
      </c>
    </row>
    <row r="52" spans="1:45" x14ac:dyDescent="0.45">
      <c r="A52" s="10">
        <v>51</v>
      </c>
      <c r="B52" s="1">
        <v>2022</v>
      </c>
      <c r="C52" s="1" t="s">
        <v>38</v>
      </c>
      <c r="D52" s="1" t="s">
        <v>1</v>
      </c>
      <c r="E52" s="4">
        <v>58</v>
      </c>
      <c r="F52" s="1" t="s">
        <v>44</v>
      </c>
      <c r="G52" s="4">
        <v>2</v>
      </c>
      <c r="H52" s="1" t="s">
        <v>105</v>
      </c>
      <c r="I52" s="33" t="s">
        <v>105</v>
      </c>
      <c r="J52" s="33" t="s">
        <v>105</v>
      </c>
      <c r="K52" s="33" t="s">
        <v>105</v>
      </c>
      <c r="L52" s="33" t="s">
        <v>105</v>
      </c>
      <c r="M52" s="33" t="s">
        <v>105</v>
      </c>
      <c r="N52" s="33" t="s">
        <v>105</v>
      </c>
      <c r="O52" s="33" t="s">
        <v>105</v>
      </c>
      <c r="P52" s="1">
        <v>2</v>
      </c>
      <c r="Q52" s="1">
        <v>16</v>
      </c>
      <c r="R52" s="1">
        <v>1.2</v>
      </c>
      <c r="S52" s="1">
        <v>3.7</v>
      </c>
      <c r="T52" s="1">
        <v>0.5</v>
      </c>
      <c r="U52" s="1">
        <v>0.9</v>
      </c>
      <c r="V52" s="1">
        <v>0</v>
      </c>
      <c r="W52" s="1">
        <v>0</v>
      </c>
      <c r="X52" s="1">
        <v>140</v>
      </c>
      <c r="Y52" s="1">
        <v>5</v>
      </c>
      <c r="Z52" s="1">
        <v>8</v>
      </c>
      <c r="AA52" s="1">
        <v>8</v>
      </c>
      <c r="AB52" s="18">
        <v>31</v>
      </c>
      <c r="AC52" s="18">
        <f t="shared" si="13"/>
        <v>35.915999999999997</v>
      </c>
      <c r="AD52" s="19">
        <f t="shared" si="14"/>
        <v>0.3781538461538459</v>
      </c>
      <c r="AE52" s="20">
        <v>32</v>
      </c>
      <c r="AF52" s="20">
        <f t="shared" si="15"/>
        <v>33.85199999999999</v>
      </c>
      <c r="AG52" s="21">
        <f t="shared" si="6"/>
        <v>0.11574999999999935</v>
      </c>
      <c r="AH52" s="22">
        <v>102</v>
      </c>
      <c r="AI52" s="22">
        <f t="shared" si="16"/>
        <v>82.157999999999987</v>
      </c>
      <c r="AJ52" s="23">
        <f t="shared" si="7"/>
        <v>-0.45095454545454577</v>
      </c>
      <c r="AK52" s="24">
        <v>92</v>
      </c>
      <c r="AL52" s="24">
        <f t="shared" si="17"/>
        <v>73.794000000000011</v>
      </c>
      <c r="AM52" s="26">
        <f t="shared" si="8"/>
        <v>-1.0114444444444439</v>
      </c>
      <c r="AN52" s="28">
        <v>109</v>
      </c>
      <c r="AO52" s="28">
        <f t="shared" si="18"/>
        <v>97.282000000000011</v>
      </c>
      <c r="AP52" s="30">
        <f t="shared" si="9"/>
        <v>-0.58589999999999942</v>
      </c>
      <c r="AQ52" s="32">
        <f t="shared" si="10"/>
        <v>-1.5543951437451438</v>
      </c>
      <c r="AR52" s="1" t="str">
        <f t="shared" si="11"/>
        <v>NO EHM</v>
      </c>
      <c r="AS52" s="34" t="str">
        <f t="shared" si="12"/>
        <v>SI</v>
      </c>
    </row>
    <row r="53" spans="1:45" x14ac:dyDescent="0.45">
      <c r="A53" s="10">
        <v>52</v>
      </c>
      <c r="B53" s="1">
        <v>2022</v>
      </c>
      <c r="C53" s="1" t="s">
        <v>38</v>
      </c>
      <c r="D53" s="1" t="s">
        <v>1</v>
      </c>
      <c r="E53" s="1">
        <v>57</v>
      </c>
      <c r="F53" s="1" t="s">
        <v>44</v>
      </c>
      <c r="G53" s="1">
        <v>12</v>
      </c>
      <c r="H53" s="1" t="s">
        <v>105</v>
      </c>
      <c r="I53" s="33" t="s">
        <v>105</v>
      </c>
      <c r="J53" s="33" t="s">
        <v>105</v>
      </c>
      <c r="K53" s="33" t="s">
        <v>105</v>
      </c>
      <c r="L53" s="33" t="s">
        <v>105</v>
      </c>
      <c r="M53" s="33" t="s">
        <v>105</v>
      </c>
      <c r="N53" s="33" t="s">
        <v>105</v>
      </c>
      <c r="O53" s="33" t="s">
        <v>105</v>
      </c>
      <c r="P53" s="1">
        <v>3</v>
      </c>
      <c r="Q53" s="1">
        <v>16</v>
      </c>
      <c r="R53" s="1">
        <v>1.6</v>
      </c>
      <c r="S53" s="1">
        <v>3.4</v>
      </c>
      <c r="T53" s="1">
        <v>0.7</v>
      </c>
      <c r="U53" s="1">
        <v>2.0299999999999998</v>
      </c>
      <c r="V53" s="1">
        <v>0</v>
      </c>
      <c r="W53" s="1">
        <v>0</v>
      </c>
      <c r="X53" s="1">
        <v>140</v>
      </c>
      <c r="Y53" s="1">
        <v>7</v>
      </c>
      <c r="Z53" s="1">
        <v>15</v>
      </c>
      <c r="AA53" s="1">
        <v>15</v>
      </c>
      <c r="AB53" s="18">
        <v>23</v>
      </c>
      <c r="AC53" s="18">
        <f t="shared" si="13"/>
        <v>36.335999999999999</v>
      </c>
      <c r="AD53" s="19">
        <f t="shared" si="14"/>
        <v>1.0258461538461536</v>
      </c>
      <c r="AE53" s="20">
        <v>90</v>
      </c>
      <c r="AF53" s="20">
        <f t="shared" si="15"/>
        <v>33.486999999999995</v>
      </c>
      <c r="AG53" s="21">
        <f t="shared" si="6"/>
        <v>-3.5320625000000003</v>
      </c>
      <c r="AH53" s="22">
        <v>152</v>
      </c>
      <c r="AI53" s="22">
        <f t="shared" si="16"/>
        <v>81.21599999999998</v>
      </c>
      <c r="AJ53" s="23">
        <f t="shared" si="7"/>
        <v>-1.6087272727272732</v>
      </c>
      <c r="AK53" s="24">
        <v>220</v>
      </c>
      <c r="AL53" s="24">
        <f t="shared" si="17"/>
        <v>73.294999999999987</v>
      </c>
      <c r="AM53" s="26">
        <f t="shared" si="8"/>
        <v>-8.1502777777777791</v>
      </c>
      <c r="AN53" s="28">
        <v>118</v>
      </c>
      <c r="AO53" s="28">
        <f t="shared" si="18"/>
        <v>96.717000000000013</v>
      </c>
      <c r="AP53" s="30">
        <f t="shared" si="9"/>
        <v>-1.0641499999999993</v>
      </c>
      <c r="AQ53" s="32">
        <f t="shared" si="10"/>
        <v>-13.329371396658898</v>
      </c>
      <c r="AR53" s="1" t="str">
        <f t="shared" si="11"/>
        <v>EHM</v>
      </c>
      <c r="AS53" s="34" t="str">
        <f t="shared" si="12"/>
        <v>SI</v>
      </c>
    </row>
    <row r="54" spans="1:45" x14ac:dyDescent="0.45">
      <c r="A54" s="10">
        <v>53</v>
      </c>
      <c r="B54" s="1">
        <v>2022</v>
      </c>
      <c r="C54" s="1" t="s">
        <v>4</v>
      </c>
      <c r="D54" s="1" t="s">
        <v>5</v>
      </c>
      <c r="E54" s="1">
        <v>58</v>
      </c>
      <c r="F54" s="1" t="s">
        <v>44</v>
      </c>
      <c r="G54" s="1">
        <v>96</v>
      </c>
      <c r="H54" s="1" t="s">
        <v>47</v>
      </c>
      <c r="I54" s="33" t="s">
        <v>105</v>
      </c>
      <c r="J54" s="4" t="s">
        <v>34</v>
      </c>
      <c r="K54" s="33" t="s">
        <v>105</v>
      </c>
      <c r="L54" s="33" t="s">
        <v>105</v>
      </c>
      <c r="M54" s="33" t="s">
        <v>105</v>
      </c>
      <c r="N54" s="33" t="s">
        <v>105</v>
      </c>
      <c r="O54" s="33" t="s">
        <v>105</v>
      </c>
      <c r="P54" s="1">
        <v>2</v>
      </c>
      <c r="Q54" s="1">
        <v>11</v>
      </c>
      <c r="R54" s="1">
        <v>1.26</v>
      </c>
      <c r="S54" s="1">
        <v>3.75</v>
      </c>
      <c r="T54" s="1">
        <v>0.5</v>
      </c>
      <c r="U54" s="1">
        <v>2.41</v>
      </c>
      <c r="V54" s="1">
        <v>0</v>
      </c>
      <c r="W54" s="1">
        <v>0</v>
      </c>
      <c r="X54" s="1">
        <v>142</v>
      </c>
      <c r="Y54" s="1">
        <v>6</v>
      </c>
      <c r="Z54" s="1">
        <v>12</v>
      </c>
      <c r="AA54" s="1">
        <v>12</v>
      </c>
      <c r="AB54" s="18">
        <v>26</v>
      </c>
      <c r="AC54" s="18">
        <f t="shared" si="13"/>
        <v>29.260999999999996</v>
      </c>
      <c r="AD54" s="19">
        <f t="shared" si="14"/>
        <v>0.2508461538461535</v>
      </c>
      <c r="AE54" s="20">
        <v>75</v>
      </c>
      <c r="AF54" s="20">
        <f t="shared" si="15"/>
        <v>42.391999999999996</v>
      </c>
      <c r="AG54" s="21">
        <f t="shared" si="6"/>
        <v>-2.0380000000000003</v>
      </c>
      <c r="AH54" s="22">
        <v>157</v>
      </c>
      <c r="AI54" s="22">
        <f t="shared" si="16"/>
        <v>106.09799999999998</v>
      </c>
      <c r="AJ54" s="23">
        <f t="shared" si="7"/>
        <v>-1.1568636363636366</v>
      </c>
      <c r="AK54" s="24">
        <v>110</v>
      </c>
      <c r="AL54" s="24">
        <f t="shared" si="17"/>
        <v>79.984000000000009</v>
      </c>
      <c r="AM54" s="26">
        <f t="shared" si="8"/>
        <v>-1.667555555555555</v>
      </c>
      <c r="AN54" s="28">
        <v>97</v>
      </c>
      <c r="AO54" s="28">
        <f t="shared" si="18"/>
        <v>103.072</v>
      </c>
      <c r="AP54" s="30">
        <f t="shared" si="9"/>
        <v>0.30360000000000015</v>
      </c>
      <c r="AQ54" s="3">
        <f t="shared" si="10"/>
        <v>-4.3079730380730377</v>
      </c>
      <c r="AR54" s="1" t="str">
        <f t="shared" si="11"/>
        <v>NO EHM</v>
      </c>
      <c r="AS54" s="34" t="str">
        <f t="shared" si="12"/>
        <v>SI</v>
      </c>
    </row>
    <row r="55" spans="1:45" x14ac:dyDescent="0.45">
      <c r="A55" s="10">
        <v>54</v>
      </c>
      <c r="B55" s="1">
        <v>2023</v>
      </c>
      <c r="C55" s="1" t="s">
        <v>45</v>
      </c>
      <c r="D55" s="1" t="s">
        <v>1</v>
      </c>
      <c r="E55" s="1">
        <v>58</v>
      </c>
      <c r="F55" s="1" t="s">
        <v>46</v>
      </c>
      <c r="G55" s="1">
        <v>5</v>
      </c>
      <c r="H55" s="1" t="s">
        <v>47</v>
      </c>
      <c r="I55" s="33" t="s">
        <v>105</v>
      </c>
      <c r="J55" s="33" t="s">
        <v>34</v>
      </c>
      <c r="K55" s="33" t="s">
        <v>128</v>
      </c>
      <c r="L55" s="33" t="s">
        <v>105</v>
      </c>
      <c r="M55" s="33" t="s">
        <v>105</v>
      </c>
      <c r="N55" s="33" t="s">
        <v>105</v>
      </c>
      <c r="O55" s="33" t="s">
        <v>105</v>
      </c>
      <c r="P55" s="1">
        <v>2</v>
      </c>
      <c r="Q55" s="1">
        <v>18</v>
      </c>
      <c r="R55" s="1">
        <v>1.1000000000000001</v>
      </c>
      <c r="S55" s="1">
        <v>4.5999999999999996</v>
      </c>
      <c r="T55" s="1">
        <v>0.9</v>
      </c>
      <c r="U55" s="1">
        <v>0.6</v>
      </c>
      <c r="V55" s="1">
        <v>0</v>
      </c>
      <c r="W55" s="1">
        <v>0</v>
      </c>
      <c r="X55" s="1">
        <v>140</v>
      </c>
      <c r="Y55" s="1">
        <v>5</v>
      </c>
      <c r="Z55" s="1">
        <v>8</v>
      </c>
      <c r="AA55" s="1">
        <v>8</v>
      </c>
      <c r="AB55" s="18">
        <v>30</v>
      </c>
      <c r="AC55" s="18">
        <f t="shared" si="13"/>
        <v>38.577999999999996</v>
      </c>
      <c r="AD55" s="19">
        <f t="shared" si="14"/>
        <v>0.65984615384615353</v>
      </c>
      <c r="AE55" s="20">
        <v>51</v>
      </c>
      <c r="AF55" s="20">
        <f t="shared" si="15"/>
        <v>30.435999999999993</v>
      </c>
      <c r="AG55" s="21">
        <f t="shared" si="6"/>
        <v>-1.2852500000000004</v>
      </c>
      <c r="AH55" s="22">
        <v>139</v>
      </c>
      <c r="AI55" s="22">
        <f t="shared" si="16"/>
        <v>72.581999999999994</v>
      </c>
      <c r="AJ55" s="23">
        <f t="shared" si="7"/>
        <v>-1.5095000000000001</v>
      </c>
      <c r="AK55" s="24">
        <v>100</v>
      </c>
      <c r="AL55" s="24">
        <f t="shared" si="17"/>
        <v>71.318000000000012</v>
      </c>
      <c r="AM55" s="26">
        <f t="shared" si="8"/>
        <v>-1.5934444444444438</v>
      </c>
      <c r="AN55" s="28">
        <v>113</v>
      </c>
      <c r="AO55" s="28">
        <f t="shared" si="18"/>
        <v>94.966000000000008</v>
      </c>
      <c r="AP55" s="30">
        <f t="shared" si="9"/>
        <v>-0.90169999999999961</v>
      </c>
      <c r="AQ55" s="32">
        <f t="shared" si="10"/>
        <v>-4.6300482905982907</v>
      </c>
      <c r="AR55" s="33" t="str">
        <f t="shared" si="11"/>
        <v>EHM</v>
      </c>
      <c r="AS55" s="34" t="str">
        <f t="shared" si="12"/>
        <v>SI</v>
      </c>
    </row>
    <row r="56" spans="1:45" x14ac:dyDescent="0.45">
      <c r="A56" s="10">
        <v>55</v>
      </c>
      <c r="B56" s="1">
        <v>2023</v>
      </c>
      <c r="C56" s="1" t="s">
        <v>29</v>
      </c>
      <c r="D56" s="1" t="s">
        <v>1</v>
      </c>
      <c r="E56" s="1">
        <v>65</v>
      </c>
      <c r="F56" s="1" t="s">
        <v>44</v>
      </c>
      <c r="G56" s="1">
        <v>12</v>
      </c>
      <c r="H56" s="1" t="s">
        <v>105</v>
      </c>
      <c r="I56" s="33" t="s">
        <v>105</v>
      </c>
      <c r="J56" s="33" t="s">
        <v>34</v>
      </c>
      <c r="K56" s="33" t="s">
        <v>111</v>
      </c>
      <c r="L56" s="33" t="s">
        <v>105</v>
      </c>
      <c r="M56" s="33" t="s">
        <v>105</v>
      </c>
      <c r="N56" s="33" t="s">
        <v>105</v>
      </c>
      <c r="O56" s="33" t="s">
        <v>105</v>
      </c>
      <c r="P56" s="1">
        <v>2</v>
      </c>
      <c r="Q56" s="1">
        <v>11</v>
      </c>
      <c r="R56" s="1">
        <v>1.2</v>
      </c>
      <c r="S56" s="1">
        <v>3.9</v>
      </c>
      <c r="T56" s="1">
        <v>0.7</v>
      </c>
      <c r="U56" s="1">
        <v>1.9</v>
      </c>
      <c r="V56" s="1">
        <v>0</v>
      </c>
      <c r="W56" s="1">
        <v>0</v>
      </c>
      <c r="X56" s="1">
        <v>140</v>
      </c>
      <c r="Y56" s="1">
        <v>5</v>
      </c>
      <c r="Z56" s="1">
        <v>11</v>
      </c>
      <c r="AA56" s="1">
        <v>11</v>
      </c>
      <c r="AB56" s="18">
        <v>20</v>
      </c>
      <c r="AC56" s="18">
        <f t="shared" si="13"/>
        <v>26.320999999999998</v>
      </c>
      <c r="AD56" s="19">
        <f t="shared" si="14"/>
        <v>0.48623076923076908</v>
      </c>
      <c r="AE56" s="20">
        <v>73</v>
      </c>
      <c r="AF56" s="20">
        <f t="shared" si="15"/>
        <v>44.947000000000003</v>
      </c>
      <c r="AG56" s="21">
        <f t="shared" si="6"/>
        <v>-1.7533124999999998</v>
      </c>
      <c r="AH56" s="22">
        <v>202</v>
      </c>
      <c r="AI56" s="22">
        <f t="shared" si="16"/>
        <v>112.69199999999998</v>
      </c>
      <c r="AJ56" s="23">
        <f t="shared" si="7"/>
        <v>-2.029727272727273</v>
      </c>
      <c r="AK56" s="24">
        <v>148</v>
      </c>
      <c r="AL56" s="24">
        <f t="shared" si="17"/>
        <v>83.477000000000004</v>
      </c>
      <c r="AM56" s="26">
        <f t="shared" si="8"/>
        <v>-3.5846111111111107</v>
      </c>
      <c r="AN56" s="28">
        <v>140</v>
      </c>
      <c r="AO56" s="28">
        <f t="shared" si="18"/>
        <v>107.027</v>
      </c>
      <c r="AP56" s="30">
        <f t="shared" si="9"/>
        <v>-1.6486499999999999</v>
      </c>
      <c r="AQ56" s="32">
        <f t="shared" si="10"/>
        <v>-8.5300701146076143</v>
      </c>
      <c r="AR56" s="1" t="str">
        <f t="shared" si="11"/>
        <v>EHM</v>
      </c>
      <c r="AS56" s="34" t="str">
        <f t="shared" si="12"/>
        <v>SI</v>
      </c>
    </row>
    <row r="57" spans="1:45" x14ac:dyDescent="0.45">
      <c r="A57" s="10">
        <v>56</v>
      </c>
      <c r="B57" s="1">
        <v>2023</v>
      </c>
      <c r="C57" s="1" t="s">
        <v>0</v>
      </c>
      <c r="D57" s="1" t="s">
        <v>1</v>
      </c>
      <c r="E57" s="1">
        <v>46</v>
      </c>
      <c r="F57" s="1" t="s">
        <v>9</v>
      </c>
      <c r="G57" s="1">
        <v>24</v>
      </c>
      <c r="H57" s="1" t="s">
        <v>105</v>
      </c>
      <c r="I57" s="33" t="s">
        <v>105</v>
      </c>
      <c r="J57" s="33" t="s">
        <v>111</v>
      </c>
      <c r="K57" s="33" t="s">
        <v>50</v>
      </c>
      <c r="L57" s="33" t="s">
        <v>105</v>
      </c>
      <c r="M57" s="33" t="s">
        <v>105</v>
      </c>
      <c r="N57" s="33" t="s">
        <v>105</v>
      </c>
      <c r="O57" s="33" t="s">
        <v>105</v>
      </c>
      <c r="P57" s="1">
        <v>3</v>
      </c>
      <c r="Q57" s="1">
        <v>17</v>
      </c>
      <c r="R57" s="1">
        <v>1.3</v>
      </c>
      <c r="S57" s="1">
        <v>3.8</v>
      </c>
      <c r="T57" s="1">
        <v>0.7</v>
      </c>
      <c r="U57" s="1">
        <v>1.6</v>
      </c>
      <c r="V57" s="1">
        <v>0</v>
      </c>
      <c r="W57" s="1">
        <v>0</v>
      </c>
      <c r="X57" s="1">
        <v>137</v>
      </c>
      <c r="Y57" s="1">
        <v>5</v>
      </c>
      <c r="Z57" s="1">
        <v>11</v>
      </c>
      <c r="AA57" s="1">
        <v>13</v>
      </c>
      <c r="AB57" s="18">
        <v>44</v>
      </c>
      <c r="AC57" s="18">
        <f t="shared" si="13"/>
        <v>42.286999999999992</v>
      </c>
      <c r="AD57" s="19">
        <f t="shared" si="14"/>
        <v>-0.13176923076923139</v>
      </c>
      <c r="AE57" s="20">
        <v>34</v>
      </c>
      <c r="AF57" s="20">
        <f t="shared" si="15"/>
        <v>27.763999999999999</v>
      </c>
      <c r="AG57" s="21">
        <f t="shared" si="6"/>
        <v>-0.38975000000000004</v>
      </c>
      <c r="AH57" s="22">
        <v>58</v>
      </c>
      <c r="AI57" s="22">
        <f t="shared" si="16"/>
        <v>66.065999999999988</v>
      </c>
      <c r="AJ57" s="23">
        <f t="shared" si="7"/>
        <v>0.18331818181818155</v>
      </c>
      <c r="AK57" s="24">
        <v>94</v>
      </c>
      <c r="AL57" s="24">
        <f t="shared" si="17"/>
        <v>66.568000000000012</v>
      </c>
      <c r="AM57" s="26">
        <f t="shared" si="8"/>
        <v>-1.5239999999999994</v>
      </c>
      <c r="AN57" s="28">
        <v>112</v>
      </c>
      <c r="AO57" s="28">
        <f t="shared" si="18"/>
        <v>89.343999999999994</v>
      </c>
      <c r="AP57" s="30">
        <f t="shared" si="9"/>
        <v>-1.1328000000000003</v>
      </c>
      <c r="AQ57" s="32">
        <f t="shared" si="10"/>
        <v>-2.9950010489510497</v>
      </c>
      <c r="AR57" s="1" t="str">
        <f t="shared" si="11"/>
        <v>NO EHM</v>
      </c>
      <c r="AS57" s="34" t="str">
        <f t="shared" si="12"/>
        <v>SI</v>
      </c>
    </row>
    <row r="58" spans="1:45" x14ac:dyDescent="0.45">
      <c r="A58" s="10">
        <v>57</v>
      </c>
      <c r="B58" s="1">
        <v>2023</v>
      </c>
      <c r="C58" s="1" t="s">
        <v>0</v>
      </c>
      <c r="D58" s="1" t="s">
        <v>1</v>
      </c>
      <c r="E58" s="1">
        <v>58</v>
      </c>
      <c r="F58" s="1" t="s">
        <v>44</v>
      </c>
      <c r="G58" s="1">
        <v>33</v>
      </c>
      <c r="H58" s="1" t="s">
        <v>105</v>
      </c>
      <c r="I58" s="33" t="s">
        <v>105</v>
      </c>
      <c r="J58" s="4" t="s">
        <v>34</v>
      </c>
      <c r="K58" s="33" t="s">
        <v>105</v>
      </c>
      <c r="L58" s="33" t="s">
        <v>105</v>
      </c>
      <c r="M58" s="33" t="s">
        <v>105</v>
      </c>
      <c r="N58" s="33" t="s">
        <v>105</v>
      </c>
      <c r="O58" s="33" t="s">
        <v>105</v>
      </c>
      <c r="P58" s="1">
        <v>1</v>
      </c>
      <c r="Q58" s="1">
        <v>11</v>
      </c>
      <c r="R58" s="1">
        <v>1.05</v>
      </c>
      <c r="S58" s="1">
        <v>4.8</v>
      </c>
      <c r="T58" s="1">
        <v>0.9</v>
      </c>
      <c r="U58" s="1">
        <v>0.9</v>
      </c>
      <c r="V58" s="1">
        <v>0</v>
      </c>
      <c r="W58" s="1">
        <v>0</v>
      </c>
      <c r="X58" s="1">
        <v>141</v>
      </c>
      <c r="Y58" s="1">
        <v>5</v>
      </c>
      <c r="Z58" s="1">
        <v>7</v>
      </c>
      <c r="AA58" s="1">
        <v>7</v>
      </c>
      <c r="AB58" s="18">
        <v>41</v>
      </c>
      <c r="AC58" s="18">
        <f t="shared" si="13"/>
        <v>29.260999999999996</v>
      </c>
      <c r="AD58" s="19">
        <f t="shared" si="14"/>
        <v>-0.90300000000000036</v>
      </c>
      <c r="AE58" s="20">
        <v>43</v>
      </c>
      <c r="AF58" s="20">
        <f t="shared" si="15"/>
        <v>42.391999999999996</v>
      </c>
      <c r="AG58" s="21">
        <f t="shared" si="6"/>
        <v>-3.8000000000000256E-2</v>
      </c>
      <c r="AH58" s="22">
        <v>72</v>
      </c>
      <c r="AI58" s="22">
        <f t="shared" si="16"/>
        <v>106.09799999999998</v>
      </c>
      <c r="AJ58" s="23">
        <f t="shared" si="7"/>
        <v>0.77495454545454512</v>
      </c>
      <c r="AK58" s="24">
        <v>94</v>
      </c>
      <c r="AL58" s="24">
        <f t="shared" si="17"/>
        <v>79.984000000000009</v>
      </c>
      <c r="AM58" s="26">
        <f t="shared" si="8"/>
        <v>-0.77866666666666617</v>
      </c>
      <c r="AN58" s="28">
        <v>75</v>
      </c>
      <c r="AO58" s="28">
        <f t="shared" si="18"/>
        <v>103.072</v>
      </c>
      <c r="AP58" s="30">
        <f t="shared" si="9"/>
        <v>1.4036000000000002</v>
      </c>
      <c r="AQ58" s="32">
        <f t="shared" si="10"/>
        <v>0.45888787878787851</v>
      </c>
      <c r="AR58" s="1" t="str">
        <f t="shared" si="11"/>
        <v>NO EHM</v>
      </c>
      <c r="AS58" s="34" t="str">
        <f t="shared" si="12"/>
        <v>SI</v>
      </c>
    </row>
    <row r="59" spans="1:45" x14ac:dyDescent="0.45">
      <c r="A59" s="10">
        <v>58</v>
      </c>
      <c r="B59" s="1">
        <v>2023</v>
      </c>
      <c r="C59" s="1" t="s">
        <v>48</v>
      </c>
      <c r="D59" s="1" t="s">
        <v>5</v>
      </c>
      <c r="E59" s="1">
        <v>56</v>
      </c>
      <c r="F59" s="1" t="s">
        <v>49</v>
      </c>
      <c r="G59" s="1">
        <v>10</v>
      </c>
      <c r="H59" s="1" t="s">
        <v>105</v>
      </c>
      <c r="I59" s="33" t="s">
        <v>105</v>
      </c>
      <c r="J59" s="33" t="s">
        <v>111</v>
      </c>
      <c r="K59" s="33" t="s">
        <v>50</v>
      </c>
      <c r="L59" s="33" t="s">
        <v>105</v>
      </c>
      <c r="M59" s="33" t="s">
        <v>105</v>
      </c>
      <c r="N59" s="33" t="s">
        <v>105</v>
      </c>
      <c r="O59" s="33" t="s">
        <v>105</v>
      </c>
      <c r="P59" s="1">
        <v>1</v>
      </c>
      <c r="Q59" s="1">
        <v>18</v>
      </c>
      <c r="R59" s="1">
        <v>1.2</v>
      </c>
      <c r="S59" s="1">
        <v>4.0999999999999996</v>
      </c>
      <c r="T59" s="1">
        <v>0.7</v>
      </c>
      <c r="U59" s="1">
        <v>1.2</v>
      </c>
      <c r="V59" s="1">
        <v>0</v>
      </c>
      <c r="W59" s="1">
        <v>0</v>
      </c>
      <c r="X59" s="1">
        <v>140</v>
      </c>
      <c r="Y59" s="1">
        <v>5</v>
      </c>
      <c r="Z59" s="1">
        <v>9</v>
      </c>
      <c r="AA59" s="1">
        <v>9</v>
      </c>
      <c r="AB59" s="18">
        <v>31</v>
      </c>
      <c r="AC59" s="18">
        <f t="shared" si="13"/>
        <v>39.417999999999992</v>
      </c>
      <c r="AD59" s="19">
        <f t="shared" si="14"/>
        <v>0.64753846153846095</v>
      </c>
      <c r="AE59" s="20">
        <v>43</v>
      </c>
      <c r="AF59" s="20">
        <f t="shared" si="15"/>
        <v>29.705999999999996</v>
      </c>
      <c r="AG59" s="21">
        <f t="shared" si="6"/>
        <v>-0.83087500000000025</v>
      </c>
      <c r="AH59" s="22">
        <v>114</v>
      </c>
      <c r="AI59" s="22">
        <f t="shared" si="16"/>
        <v>70.698000000000008</v>
      </c>
      <c r="AJ59" s="23">
        <f t="shared" si="7"/>
        <v>-0.98413636363636348</v>
      </c>
      <c r="AK59" s="24">
        <v>151</v>
      </c>
      <c r="AL59" s="24">
        <f t="shared" si="17"/>
        <v>70.319999999999993</v>
      </c>
      <c r="AM59" s="26">
        <f t="shared" si="8"/>
        <v>-4.482222222222223</v>
      </c>
      <c r="AN59" s="28">
        <v>114</v>
      </c>
      <c r="AO59" s="28">
        <f t="shared" si="18"/>
        <v>93.836000000000013</v>
      </c>
      <c r="AP59" s="30">
        <f t="shared" si="9"/>
        <v>-1.0081999999999993</v>
      </c>
      <c r="AQ59" s="32">
        <f t="shared" si="10"/>
        <v>-6.6578951243201248</v>
      </c>
      <c r="AR59" s="1" t="str">
        <f t="shared" si="11"/>
        <v>EHM</v>
      </c>
      <c r="AS59" s="34" t="str">
        <f t="shared" si="12"/>
        <v>SI</v>
      </c>
    </row>
    <row r="60" spans="1:45" x14ac:dyDescent="0.45">
      <c r="A60" s="10">
        <v>59</v>
      </c>
      <c r="B60" s="1">
        <v>2024</v>
      </c>
      <c r="C60" s="1" t="s">
        <v>29</v>
      </c>
      <c r="D60" s="1" t="s">
        <v>1</v>
      </c>
      <c r="E60" s="1">
        <v>51</v>
      </c>
      <c r="F60" s="1" t="s">
        <v>9</v>
      </c>
      <c r="G60" s="1">
        <v>60</v>
      </c>
      <c r="H60" s="1" t="s">
        <v>105</v>
      </c>
      <c r="I60" s="33" t="s">
        <v>105</v>
      </c>
      <c r="J60" s="4" t="s">
        <v>50</v>
      </c>
      <c r="K60" s="33" t="s">
        <v>105</v>
      </c>
      <c r="L60" s="33" t="s">
        <v>105</v>
      </c>
      <c r="M60" s="33" t="s">
        <v>105</v>
      </c>
      <c r="N60" s="33" t="s">
        <v>105</v>
      </c>
      <c r="O60" s="33" t="s">
        <v>105</v>
      </c>
      <c r="P60" s="1">
        <v>3</v>
      </c>
      <c r="Q60" s="1">
        <v>13</v>
      </c>
      <c r="R60" s="1">
        <v>1.7</v>
      </c>
      <c r="S60" s="1">
        <v>3</v>
      </c>
      <c r="T60" s="1">
        <v>0.6</v>
      </c>
      <c r="U60" s="1">
        <v>1.1000000000000001</v>
      </c>
      <c r="V60" s="1">
        <v>0</v>
      </c>
      <c r="W60" s="1">
        <v>0</v>
      </c>
      <c r="X60" s="1">
        <v>138</v>
      </c>
      <c r="Y60" s="1">
        <v>6</v>
      </c>
      <c r="Z60" s="1">
        <v>13</v>
      </c>
      <c r="AA60" s="1">
        <v>14</v>
      </c>
      <c r="AB60" s="18">
        <v>30</v>
      </c>
      <c r="AC60" s="18">
        <f t="shared" si="13"/>
        <v>34.863</v>
      </c>
      <c r="AD60" s="19">
        <f t="shared" si="14"/>
        <v>0.37407692307692303</v>
      </c>
      <c r="AE60" s="20">
        <v>40</v>
      </c>
      <c r="AF60" s="20">
        <f t="shared" si="15"/>
        <v>36.420999999999999</v>
      </c>
      <c r="AG60" s="21">
        <f t="shared" si="6"/>
        <v>-0.22368750000000004</v>
      </c>
      <c r="AH60" s="22">
        <v>120</v>
      </c>
      <c r="AI60" s="22">
        <f t="shared" si="16"/>
        <v>89.927999999999997</v>
      </c>
      <c r="AJ60" s="23">
        <f t="shared" si="7"/>
        <v>-0.68345454545454554</v>
      </c>
      <c r="AK60" s="24">
        <v>51</v>
      </c>
      <c r="AL60" s="24">
        <f t="shared" si="17"/>
        <v>74.014999999999986</v>
      </c>
      <c r="AM60" s="26">
        <f t="shared" si="8"/>
        <v>1.2786111111111103</v>
      </c>
      <c r="AN60" s="28">
        <v>73</v>
      </c>
      <c r="AO60" s="28">
        <f t="shared" si="18"/>
        <v>96.801000000000002</v>
      </c>
      <c r="AP60" s="30">
        <f t="shared" si="9"/>
        <v>1.1900500000000001</v>
      </c>
      <c r="AQ60" s="3">
        <f t="shared" si="10"/>
        <v>1.9355959887334877</v>
      </c>
      <c r="AR60" s="1" t="str">
        <f t="shared" si="11"/>
        <v>NO EHM</v>
      </c>
      <c r="AS60" s="34" t="str">
        <f t="shared" si="12"/>
        <v>SI</v>
      </c>
    </row>
    <row r="61" spans="1:45" x14ac:dyDescent="0.45">
      <c r="A61" s="10">
        <v>60</v>
      </c>
      <c r="B61" s="1">
        <v>2024</v>
      </c>
      <c r="C61" s="1" t="s">
        <v>0</v>
      </c>
      <c r="D61" s="1" t="s">
        <v>1</v>
      </c>
      <c r="E61" s="1">
        <v>54</v>
      </c>
      <c r="F61" s="1" t="s">
        <v>46</v>
      </c>
      <c r="G61" s="1">
        <v>36</v>
      </c>
      <c r="H61" s="1" t="s">
        <v>105</v>
      </c>
      <c r="I61" s="33" t="s">
        <v>105</v>
      </c>
      <c r="J61" s="4" t="s">
        <v>34</v>
      </c>
      <c r="K61" s="33" t="s">
        <v>105</v>
      </c>
      <c r="L61" s="33" t="s">
        <v>105</v>
      </c>
      <c r="M61" s="33" t="s">
        <v>105</v>
      </c>
      <c r="N61" s="33" t="s">
        <v>105</v>
      </c>
      <c r="O61" s="33" t="s">
        <v>105</v>
      </c>
      <c r="P61" s="1">
        <v>2</v>
      </c>
      <c r="Q61" s="1">
        <v>11</v>
      </c>
      <c r="R61" s="1">
        <v>1</v>
      </c>
      <c r="S61" s="1">
        <v>4.4000000000000004</v>
      </c>
      <c r="T61" s="1">
        <v>0.8</v>
      </c>
      <c r="U61" s="1">
        <v>0.9</v>
      </c>
      <c r="V61" s="1">
        <v>0</v>
      </c>
      <c r="W61" s="1">
        <v>0</v>
      </c>
      <c r="X61" s="1">
        <v>141</v>
      </c>
      <c r="Y61" s="1">
        <v>5</v>
      </c>
      <c r="Z61" s="1">
        <v>6</v>
      </c>
      <c r="AA61" s="1">
        <v>6</v>
      </c>
      <c r="AB61" s="18">
        <v>24</v>
      </c>
      <c r="AC61" s="18">
        <f t="shared" si="13"/>
        <v>30.940999999999995</v>
      </c>
      <c r="AD61" s="19">
        <f t="shared" si="14"/>
        <v>0.53392307692307661</v>
      </c>
      <c r="AE61" s="20">
        <v>60</v>
      </c>
      <c r="AF61" s="20">
        <f t="shared" si="15"/>
        <v>40.932000000000002</v>
      </c>
      <c r="AG61" s="21">
        <f t="shared" si="6"/>
        <v>-1.1917499999999999</v>
      </c>
      <c r="AH61" s="22">
        <v>122</v>
      </c>
      <c r="AI61" s="22">
        <f t="shared" si="16"/>
        <v>102.32999999999998</v>
      </c>
      <c r="AJ61" s="23">
        <f t="shared" si="7"/>
        <v>-0.44704545454545491</v>
      </c>
      <c r="AK61" s="24">
        <v>86</v>
      </c>
      <c r="AL61" s="24">
        <f t="shared" si="17"/>
        <v>77.988</v>
      </c>
      <c r="AM61" s="26">
        <f t="shared" si="8"/>
        <v>-0.44511111111111112</v>
      </c>
      <c r="AN61" s="28">
        <v>62</v>
      </c>
      <c r="AO61" s="28">
        <f t="shared" si="18"/>
        <v>100.81200000000001</v>
      </c>
      <c r="AP61" s="30">
        <f t="shared" si="9"/>
        <v>1.9406000000000005</v>
      </c>
      <c r="AQ61" s="3">
        <f t="shared" si="10"/>
        <v>0.3906165112665112</v>
      </c>
      <c r="AR61" s="1" t="str">
        <f t="shared" si="11"/>
        <v>NO EHM</v>
      </c>
      <c r="AS61" s="34" t="str">
        <f t="shared" si="12"/>
        <v>SI</v>
      </c>
    </row>
    <row r="62" spans="1:45" x14ac:dyDescent="0.45">
      <c r="A62" s="10">
        <v>61</v>
      </c>
      <c r="B62" s="1">
        <v>2024</v>
      </c>
      <c r="C62" s="1" t="s">
        <v>31</v>
      </c>
      <c r="D62" s="1" t="s">
        <v>1</v>
      </c>
      <c r="E62" s="1">
        <v>56</v>
      </c>
      <c r="F62" s="1" t="s">
        <v>61</v>
      </c>
      <c r="G62" s="1">
        <v>96</v>
      </c>
      <c r="H62" s="1" t="s">
        <v>105</v>
      </c>
      <c r="I62" s="33" t="s">
        <v>105</v>
      </c>
      <c r="J62" s="4" t="s">
        <v>34</v>
      </c>
      <c r="K62" s="33" t="s">
        <v>105</v>
      </c>
      <c r="L62" s="33" t="s">
        <v>105</v>
      </c>
      <c r="M62" s="33" t="s">
        <v>105</v>
      </c>
      <c r="N62" s="33" t="s">
        <v>105</v>
      </c>
      <c r="O62" s="33" t="s">
        <v>105</v>
      </c>
      <c r="P62" s="1">
        <v>3</v>
      </c>
      <c r="Q62" s="1">
        <v>15</v>
      </c>
      <c r="R62" s="1">
        <v>1.1000000000000001</v>
      </c>
      <c r="S62" s="1">
        <v>3.8</v>
      </c>
      <c r="T62" s="1">
        <v>0.6</v>
      </c>
      <c r="U62" s="1">
        <v>0.8</v>
      </c>
      <c r="V62" s="1">
        <v>0</v>
      </c>
      <c r="W62" s="1">
        <v>0</v>
      </c>
      <c r="X62" s="1">
        <v>140</v>
      </c>
      <c r="Y62" s="1">
        <v>5</v>
      </c>
      <c r="Z62" s="1">
        <v>7</v>
      </c>
      <c r="AA62" s="1">
        <v>7</v>
      </c>
      <c r="AB62" s="18">
        <v>18</v>
      </c>
      <c r="AC62" s="18">
        <f t="shared" si="13"/>
        <v>35.424999999999997</v>
      </c>
      <c r="AD62" s="19">
        <f t="shared" si="14"/>
        <v>1.3403846153846151</v>
      </c>
      <c r="AE62" s="20">
        <v>82</v>
      </c>
      <c r="AF62" s="20">
        <f t="shared" si="15"/>
        <v>34.83</v>
      </c>
      <c r="AG62" s="21">
        <f t="shared" si="6"/>
        <v>-2.9481250000000001</v>
      </c>
      <c r="AH62" s="22">
        <v>209</v>
      </c>
      <c r="AI62" s="22">
        <f t="shared" si="16"/>
        <v>85.061999999999998</v>
      </c>
      <c r="AJ62" s="23">
        <f t="shared" si="7"/>
        <v>-2.8167727272727272</v>
      </c>
      <c r="AK62" s="24">
        <v>210</v>
      </c>
      <c r="AL62" s="24">
        <f t="shared" si="17"/>
        <v>74.033999999999992</v>
      </c>
      <c r="AM62" s="26">
        <f t="shared" si="8"/>
        <v>-7.5536666666666674</v>
      </c>
      <c r="AN62" s="28">
        <v>205</v>
      </c>
      <c r="AO62" s="28">
        <f t="shared" si="18"/>
        <v>97.31</v>
      </c>
      <c r="AP62" s="30">
        <f t="shared" si="9"/>
        <v>-5.3845000000000001</v>
      </c>
      <c r="AQ62" s="32">
        <f t="shared" si="10"/>
        <v>-17.362679778554778</v>
      </c>
      <c r="AR62" s="1" t="str">
        <f t="shared" si="11"/>
        <v>EHM</v>
      </c>
      <c r="AS62" s="34" t="str">
        <f t="shared" si="12"/>
        <v>SI</v>
      </c>
    </row>
  </sheetData>
  <autoFilter ref="A1:AS62" xr:uid="{3B3D239C-B39F-421D-9B22-9D398D85B3D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8D08-9905-480F-A1BF-344D50CCA4F6}">
  <dimension ref="A6:D15"/>
  <sheetViews>
    <sheetView workbookViewId="0">
      <selection activeCell="F10" sqref="F10"/>
    </sheetView>
  </sheetViews>
  <sheetFormatPr baseColWidth="10" defaultRowHeight="14.25" x14ac:dyDescent="0.45"/>
  <cols>
    <col min="1" max="1" width="16.796875" bestFit="1" customWidth="1"/>
    <col min="2" max="2" width="16.19921875" customWidth="1"/>
    <col min="3" max="3" width="6.6640625" bestFit="1" customWidth="1"/>
    <col min="4" max="4" width="27.9296875" bestFit="1" customWidth="1"/>
  </cols>
  <sheetData>
    <row r="6" spans="1:4" ht="71.25" x14ac:dyDescent="0.45">
      <c r="A6" s="35" t="s">
        <v>93</v>
      </c>
      <c r="B6" s="36" t="s">
        <v>95</v>
      </c>
      <c r="C6" s="37" t="s">
        <v>98</v>
      </c>
    </row>
    <row r="7" spans="1:4" x14ac:dyDescent="0.45">
      <c r="A7" s="40" t="s">
        <v>67</v>
      </c>
      <c r="B7" s="41" t="s">
        <v>103</v>
      </c>
      <c r="C7" s="38">
        <v>0</v>
      </c>
      <c r="D7" s="37" t="s">
        <v>99</v>
      </c>
    </row>
    <row r="8" spans="1:4" x14ac:dyDescent="0.45">
      <c r="A8" s="40"/>
      <c r="B8" s="41"/>
      <c r="C8" s="38">
        <v>1</v>
      </c>
      <c r="D8" s="37" t="s">
        <v>100</v>
      </c>
    </row>
    <row r="9" spans="1:4" x14ac:dyDescent="0.45">
      <c r="A9" s="40"/>
      <c r="B9" s="41"/>
      <c r="C9" s="38">
        <v>2</v>
      </c>
      <c r="D9" s="37" t="s">
        <v>101</v>
      </c>
    </row>
    <row r="10" spans="1:4" x14ac:dyDescent="0.45">
      <c r="A10" s="40"/>
      <c r="B10" s="41"/>
      <c r="C10" s="38">
        <v>3</v>
      </c>
      <c r="D10" s="37" t="s">
        <v>102</v>
      </c>
    </row>
    <row r="11" spans="1:4" x14ac:dyDescent="0.45">
      <c r="A11" s="35"/>
      <c r="B11" s="36"/>
      <c r="C11" s="37"/>
    </row>
    <row r="12" spans="1:4" ht="57" x14ac:dyDescent="0.45">
      <c r="A12" s="35" t="s">
        <v>92</v>
      </c>
      <c r="B12" s="36" t="s">
        <v>96</v>
      </c>
      <c r="C12" s="37" t="s">
        <v>97</v>
      </c>
    </row>
    <row r="13" spans="1:4" ht="42.75" x14ac:dyDescent="0.45">
      <c r="A13" s="35" t="s">
        <v>60</v>
      </c>
      <c r="B13" s="36" t="s">
        <v>91</v>
      </c>
      <c r="C13" s="37"/>
    </row>
    <row r="14" spans="1:4" x14ac:dyDescent="0.45">
      <c r="A14" s="42" t="s">
        <v>85</v>
      </c>
      <c r="B14" s="37" t="s">
        <v>86</v>
      </c>
      <c r="C14" s="37" t="s">
        <v>89</v>
      </c>
    </row>
    <row r="15" spans="1:4" x14ac:dyDescent="0.45">
      <c r="A15" s="42"/>
      <c r="B15" s="37" t="s">
        <v>87</v>
      </c>
      <c r="C15" s="37" t="s">
        <v>88</v>
      </c>
    </row>
  </sheetData>
  <mergeCells count="3">
    <mergeCell ref="A7:A10"/>
    <mergeCell ref="B7:B10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Leyenda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Rommel</dc:creator>
  <cp:lastModifiedBy>William J Araujo-Banchon</cp:lastModifiedBy>
  <dcterms:created xsi:type="dcterms:W3CDTF">2019-07-23T23:57:36Z</dcterms:created>
  <dcterms:modified xsi:type="dcterms:W3CDTF">2026-01-03T06:12:47Z</dcterms:modified>
</cp:coreProperties>
</file>